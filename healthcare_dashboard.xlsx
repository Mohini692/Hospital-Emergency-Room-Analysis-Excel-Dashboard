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10696875f5305db3/Desktop/imarticus/"/>
    </mc:Choice>
  </mc:AlternateContent>
  <xr:revisionPtr revIDLastSave="2954" documentId="8_{E7AC3ED0-CD9B-4B55-B485-AF5FC5B2A8F1}" xr6:coauthVersionLast="47" xr6:coauthVersionMax="47" xr10:uidLastSave="{2CA8F404-607D-47A7-B76C-FA9BCF41000E}"/>
  <bookViews>
    <workbookView xWindow="-108" yWindow="-108" windowWidth="23256" windowHeight="12456" xr2:uid="{5AFBBC66-E835-4ECB-B94C-020BA86C1AC3}"/>
  </bookViews>
  <sheets>
    <sheet name="dashboard" sheetId="1" r:id="rId1"/>
    <sheet name="Sheet1" sheetId="3" r:id="rId2"/>
    <sheet name="pivot report" sheetId="2" r:id="rId3"/>
  </sheets>
  <definedNames>
    <definedName name="Slicer_Date__Month">#N/A</definedName>
    <definedName name="Slic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484d828-7eda-4554-8a67-672b4fcc42f5" name="Hospital Emergency Room Data" connection="Query - Hospital Emergency Room Data"/>
          <x15:modelTable id="Calender_table_19d8ac65-c55a-4623-849b-e8df59549700"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8" i="2" l="1"/>
  <c r="A47" i="2"/>
  <c r="B47" i="2"/>
  <c r="C47" i="2"/>
  <c r="B48" i="2"/>
  <c r="C4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C48F32-2A99-4805-A286-3DCA81EECA55}" name="Query - Calender_table" description="Connection to the 'Calender_table' query in the workbook." type="100" refreshedVersion="8" minRefreshableVersion="5">
    <extLst>
      <ext xmlns:x15="http://schemas.microsoft.com/office/spreadsheetml/2010/11/main" uri="{DE250136-89BD-433C-8126-D09CA5730AF9}">
        <x15:connection id="d7fc24d1-047d-4a57-a691-637806d863c3"/>
      </ext>
    </extLst>
  </connection>
  <connection id="2" xr16:uid="{258B3BE5-BF29-4CEA-BAD5-8A59395A338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6beb2a4-1e6d-4ea3-a608-1622800f4c23"/>
      </ext>
    </extLst>
  </connection>
  <connection id="3" xr16:uid="{FDF9633F-168B-4039-B099-B09492978D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<sst xmlns="http://schemas.openxmlformats.org/spreadsheetml/2006/main" count="154" uniqueCount="72">
  <si>
    <t>Distinct Count of Patient Id</t>
  </si>
  <si>
    <t>No. Of Patients</t>
  </si>
  <si>
    <t>Average of Patient Waittime</t>
  </si>
  <si>
    <t>Average of Patient Satisfaction Score</t>
  </si>
  <si>
    <t>Grand Total</t>
  </si>
  <si>
    <t>Row Labels</t>
  </si>
  <si>
    <t>Daily trends of no.of patients visiting emergency room</t>
  </si>
  <si>
    <t xml:space="preserve">Avg wait Time </t>
  </si>
  <si>
    <t>Admitted</t>
  </si>
  <si>
    <t>Not-admitted</t>
  </si>
  <si>
    <t>Count of Patient Admission Flag</t>
  </si>
  <si>
    <t>Count of Patient Admission Flag2</t>
  </si>
  <si>
    <t xml:space="preserve">Admission Status </t>
  </si>
  <si>
    <t>% status</t>
  </si>
  <si>
    <t>0-9</t>
  </si>
  <si>
    <t>10-19</t>
  </si>
  <si>
    <t>20-29</t>
  </si>
  <si>
    <t>30-39</t>
  </si>
  <si>
    <t>40-49</t>
  </si>
  <si>
    <t>50-59</t>
  </si>
  <si>
    <t>60-69</t>
  </si>
  <si>
    <t>70-79</t>
  </si>
  <si>
    <t>Count of Age Group</t>
  </si>
  <si>
    <t>OnTime</t>
  </si>
  <si>
    <t>Delay</t>
  </si>
  <si>
    <t>Count of Patient Attend Status</t>
  </si>
  <si>
    <t>Count of Patient Gender</t>
  </si>
  <si>
    <t>F</t>
  </si>
  <si>
    <t>M</t>
  </si>
  <si>
    <t>Cardiology</t>
  </si>
  <si>
    <t>Gastroenterology</t>
  </si>
  <si>
    <t>General Practice</t>
  </si>
  <si>
    <t>Neurology</t>
  </si>
  <si>
    <t>None</t>
  </si>
  <si>
    <t>Orthopedics</t>
  </si>
  <si>
    <t>Physiotherapy</t>
  </si>
  <si>
    <t>Renal</t>
  </si>
  <si>
    <t>Count of Department Referral</t>
  </si>
  <si>
    <t xml:space="preserve">No.of Patients </t>
  </si>
  <si>
    <t>2023</t>
  </si>
  <si>
    <t>May</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</si>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</sst>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tint="0.14999847407452621"/>
      <name val="Calibri"/>
      <family val="2"/>
      <scheme val="minor"/>
    </font>
    <font>
      <u/>
      <sz val="11"/>
      <color theme="10"/>
      <name val="Calibri"/>
      <family val="2"/>
      <scheme val="minor"/>
    </font>
    <font>
      <sz val="11"/>
      <color theme="1"/>
      <name val="Calibri"/>
      <family val="2"/>
      <scheme val="minor"/>
    </font>
    <font>
      <sz val="10"/>
      <color theme="0"/>
      <name val="Calibri"/>
      <family val="2"/>
      <scheme val="minor"/>
    </font>
    <font>
      <sz val="10"/>
      <color theme="1"/>
      <name val="Calibri"/>
      <family val="2"/>
      <scheme val="minor"/>
    </font>
  </fonts>
  <fills count="6">
    <fill>
      <patternFill patternType="none"/>
    </fill>
    <fill>
      <patternFill patternType="gray125"/>
    </fill>
    <fill>
      <patternFill patternType="solid">
        <fgColor theme="1" tint="0.14999847407452621"/>
        <bgColor indexed="64"/>
      </patternFill>
    </fill>
    <fill>
      <patternFill patternType="solid">
        <fgColor theme="3"/>
        <bgColor indexed="64"/>
      </patternFill>
    </fill>
    <fill>
      <patternFill patternType="solid">
        <fgColor theme="2"/>
        <bgColor indexed="64"/>
      </patternFill>
    </fill>
    <fill>
      <patternFill patternType="solid">
        <fgColor theme="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9" fontId="3" fillId="0" borderId="0" applyFont="0" applyFill="0" applyBorder="0" applyAlignment="0" applyProtection="0"/>
  </cellStyleXfs>
  <cellXfs count="16">
    <xf numFmtId="0" fontId="0" fillId="0" borderId="0" xfId="0"/>
    <xf numFmtId="2"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2" fillId="3" borderId="0" xfId="1" applyFill="1"/>
    <xf numFmtId="1" fontId="0" fillId="0" borderId="0" xfId="0" applyNumberFormat="1"/>
    <xf numFmtId="10" fontId="0" fillId="0" borderId="0" xfId="0" applyNumberFormat="1"/>
    <xf numFmtId="10" fontId="0" fillId="0" borderId="0" xfId="0" applyNumberFormat="1" applyAlignment="1">
      <alignment horizontal="right"/>
    </xf>
    <xf numFmtId="0" fontId="0" fillId="4" borderId="0" xfId="0" applyFill="1"/>
    <xf numFmtId="0" fontId="5" fillId="4" borderId="0" xfId="0" applyFont="1" applyFill="1" applyAlignment="1">
      <alignment horizontal="center"/>
    </xf>
    <xf numFmtId="9" fontId="5" fillId="4" borderId="0" xfId="2" applyFont="1" applyFill="1" applyAlignment="1">
      <alignment horizontal="center"/>
    </xf>
    <xf numFmtId="0" fontId="4" fillId="5" borderId="0" xfId="0" applyFont="1" applyFill="1" applyAlignment="1">
      <alignment horizontal="center"/>
    </xf>
    <xf numFmtId="0" fontId="0" fillId="5" borderId="0" xfId="0" applyFill="1"/>
  </cellXfs>
  <cellStyles count="3">
    <cellStyle name="Hyperlink" xfId="1" builtinId="8"/>
    <cellStyle name="Normal" xfId="0" builtinId="0"/>
    <cellStyle name="Percent" xfId="2" builtinId="5"/>
  </cellStyles>
  <dxfs count="786">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alignment horizontal="general" indent="0"/>
    </dxf>
    <dxf>
      <alignment horizontal="right"/>
    </dxf>
    <dxf>
      <alignment horizontal="center" indent="0"/>
    </dxf>
    <dxf>
      <numFmt numFmtId="1" formatCode="0"/>
    </dxf>
    <dxf>
      <numFmt numFmtId="1" formatCode="0"/>
    </dxf>
    <dxf>
      <numFmt numFmtId="1" formatCode="0"/>
    </dxf>
    <dxf>
      <alignment relativeIndent="1"/>
    </dxf>
    <dxf>
      <alignment relativeIndent="-1"/>
    </dxf>
    <dxf>
      <alignment relativeIndent="1"/>
    </dxf>
    <dxf>
      <alignment horizontal="left" relativeIndent="1"/>
    </dxf>
    <dxf>
      <numFmt numFmtId="2" formatCode="0.00"/>
    </dxf>
    <dxf>
      <numFmt numFmtId="1" formatCode="0"/>
    </dxf>
    <dxf>
      <numFmt numFmtId="1" formatCode="0"/>
    </dxf>
    <dxf>
      <numFmt numFmtId="2" formatCode="0.00"/>
    </dxf>
    <dxf>
      <numFmt numFmtId="1" formatCode="0"/>
    </dxf>
    <dxf>
      <numFmt numFmtId="2" formatCode="0.00"/>
    </dxf>
    <dxf>
      <fill>
        <patternFill patternType="mediumGray">
          <bgColor rgb="FFFF0000"/>
        </patternFill>
      </fill>
    </dxf>
    <dxf>
      <fill>
        <patternFill patternType="none">
          <fgColor indexed="64"/>
          <bgColor auto="1"/>
        </patternFill>
      </fill>
      <border diagonalUp="0" diagonalDown="0">
        <left/>
        <right/>
        <top/>
        <bottom/>
        <vertical/>
        <horizontal/>
      </border>
    </dxf>
    <dxf>
      <border diagonalUp="0" diagonalDown="0">
        <left/>
        <right/>
        <top/>
        <bottom/>
        <vertical/>
        <horizontal/>
      </border>
    </dxf>
    <dxf>
      <fill>
        <patternFill patternType="mediumGray">
          <fgColor rgb="FFFF0000"/>
        </patternFill>
      </fill>
      <border diagonalUp="0" diagonalDown="0">
        <left/>
        <right/>
        <top/>
        <bottom/>
        <vertical/>
        <horizontal/>
      </border>
    </dxf>
    <dxf>
      <fill>
        <patternFill>
          <bgColor theme="0"/>
        </patternFill>
      </fill>
      <border diagonalUp="0" diagonalDown="0">
        <left/>
        <right/>
        <top/>
        <bottom/>
        <vertical/>
        <horizontal/>
      </border>
    </dxf>
    <dxf>
      <fill>
        <patternFill>
          <bgColor theme="7"/>
        </patternFill>
      </fill>
    </dxf>
  </dxfs>
  <tableStyles count="6" defaultTableStyle="TableStyleMedium2" defaultPivotStyle="PivotStyleLight16">
    <tableStyle name="Slicer Style 1" pivot="0" table="0" count="1" xr9:uid="{A614C7EC-C212-48AC-9E3E-2EF91A6F4B1E}">
      <tableStyleElement type="wholeTable" dxfId="785"/>
    </tableStyle>
    <tableStyle name="Slicer Style 2" pivot="0" table="0" count="1" xr9:uid="{BFEE4F39-59D1-4B54-9A8D-F150FEA1A227}">
      <tableStyleElement type="wholeTable" dxfId="784"/>
    </tableStyle>
    <tableStyle name="Slicer Style 3" pivot="0" table="0" count="1" xr9:uid="{09A6A3E6-7C02-4C9B-A6E7-006159A8A56C}">
      <tableStyleElement type="wholeTable" dxfId="783"/>
    </tableStyle>
    <tableStyle name="Slicer Style 4" pivot="0" table="0" count="1" xr9:uid="{214DF11E-05DE-4AD7-AEE9-3D3BE43BD921}">
      <tableStyleElement type="wholeTable" dxfId="782"/>
    </tableStyle>
    <tableStyle name="Slicer Style 5" pivot="0" table="0" count="1" xr9:uid="{BB19ECB6-80BE-43A8-9211-8B5D474E8F35}">
      <tableStyleElement type="wholeTable" dxfId="781"/>
    </tableStyle>
    <tableStyle name="Slicer Style 6" pivot="0" table="0" count="1" xr9:uid="{B96F396A-0FB6-40C2-B3F0-EB1EA3BEC27E}">
      <tableStyleElement type="wholeTable" dxfId="780"/>
    </tableStyle>
  </tableStyles>
  <colors>
    <mruColors>
      <color rgb="FFFF3300"/>
      <color rgb="FF000000"/>
      <color rgb="FFFF00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[healthcare_dashboard.xlsx]pivot report!PivotTable1</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60829372181926E-2"/>
          <c:y val="9.9152519215680149E-2"/>
          <c:w val="0.93475682087781731"/>
          <c:h val="0.49537873790033488"/>
        </c:manualLayout>
      </c:layout>
      <c:areaChart>
        <c:grouping val="standard"/>
        <c:varyColors val="0"/>
        <c:ser>
          <c:idx val="0"/>
          <c:order val="0"/>
          <c:tx>
            <c:strRef>
              <c:f>'pivot report'!$D$3</c:f>
              <c:strCache>
                <c:ptCount val="1"/>
                <c:pt idx="0">
                  <c:v>Total</c:v>
                </c:pt>
              </c:strCache>
            </c:strRef>
          </c:tx>
          <c:spPr>
            <a:solidFill>
              <a:srgbClr val="0070C0"/>
            </a:solidFill>
            <a:ln w="25400">
              <a:noFill/>
            </a:ln>
            <a:effectLst/>
          </c:spPr>
          <c:cat>
            <c:multiLvlStrRef>
              <c:f>'pivot report'!$C$4:$C$36</c:f>
              <c:multiLvlStrCache>
                <c:ptCount val="31"/>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lvl>
                <c:lvl>
                  <c:pt idx="0">
                    <c:v>May</c:v>
                  </c:pt>
                </c:lvl>
              </c:multiLvlStrCache>
            </c:multiLvlStrRef>
          </c:cat>
          <c:val>
            <c:numRef>
              <c:f>'pivot report'!$D$4:$D$36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5-9328-4FA7-83A9-A58F8085ED4F}"/>
            </c:ext>
          </c:extLst>
        </c:ser>
        <c:dLbls>
          <c:showLegendKey val="0"/>
          <c:showVal val="0"/>
          <c:showCatName val="0"/>
          <c:showSerName val="0"/>
          <c:showPercent val="0"/>
          <c:showBubbleSize val="0"/>
        </c:dLbls>
        <c:axId val="560364207"/>
        <c:axId val="560364687"/>
      </c:areaChart>
      <c:catAx>
        <c:axId val="560364207"/>
        <c:scaling>
          <c:orientation val="minMax"/>
        </c:scaling>
        <c:delete val="1"/>
        <c:axPos val="b"/>
        <c:numFmt formatCode="General" sourceLinked="1"/>
        <c:majorTickMark val="out"/>
        <c:minorTickMark val="none"/>
        <c:tickLblPos val="nextTo"/>
        <c:crossAx val="560364687"/>
        <c:crosses val="autoZero"/>
        <c:auto val="1"/>
        <c:lblAlgn val="ctr"/>
        <c:lblOffset val="100"/>
        <c:noMultiLvlLbl val="0"/>
      </c:catAx>
      <c:valAx>
        <c:axId val="56036468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60364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report!PivotTable5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647893944864318"/>
          <c:w val="0.99716219979801335"/>
          <c:h val="0.3236234858526113"/>
        </c:manualLayout>
      </c:layout>
      <c:areaChart>
        <c:grouping val="standard"/>
        <c:varyColors val="0"/>
        <c:ser>
          <c:idx val="0"/>
          <c:order val="0"/>
          <c:tx>
            <c:strRef>
              <c:f>'pivot report'!$G$3</c:f>
              <c:strCache>
                <c:ptCount val="1"/>
                <c:pt idx="0">
                  <c:v>Total</c:v>
                </c:pt>
              </c:strCache>
            </c:strRef>
          </c:tx>
          <c:spPr>
            <a:solidFill>
              <a:srgbClr val="0070C0"/>
            </a:solidFill>
            <a:ln w="25400">
              <a:noFill/>
            </a:ln>
            <a:effectLst/>
          </c:spPr>
          <c:cat>
            <c:multiLvlStrRef>
              <c:f>'pivot report'!$F$4:$F$36</c:f>
              <c:multiLvlStrCache>
                <c:ptCount val="31"/>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lvl>
                <c:lvl>
                  <c:pt idx="0">
                    <c:v>May</c:v>
                  </c:pt>
                </c:lvl>
              </c:multiLvlStrCache>
            </c:multiLvlStrRef>
          </c:cat>
          <c:val>
            <c:numRef>
              <c:f>'pivot report'!$G$4:$G$36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5-6824-4BD2-8C5F-DDE533345002}"/>
            </c:ext>
          </c:extLst>
        </c:ser>
        <c:dLbls>
          <c:showLegendKey val="0"/>
          <c:showVal val="0"/>
          <c:showCatName val="0"/>
          <c:showSerName val="0"/>
          <c:showPercent val="0"/>
          <c:showBubbleSize val="0"/>
        </c:dLbls>
        <c:axId val="2093733231"/>
        <c:axId val="2093733711"/>
      </c:areaChart>
      <c:catAx>
        <c:axId val="2093733231"/>
        <c:scaling>
          <c:orientation val="minMax"/>
        </c:scaling>
        <c:delete val="1"/>
        <c:axPos val="b"/>
        <c:numFmt formatCode="General" sourceLinked="1"/>
        <c:majorTickMark val="out"/>
        <c:minorTickMark val="none"/>
        <c:tickLblPos val="nextTo"/>
        <c:crossAx val="2093733711"/>
        <c:crosses val="autoZero"/>
        <c:auto val="1"/>
        <c:lblAlgn val="ctr"/>
        <c:lblOffset val="100"/>
        <c:noMultiLvlLbl val="0"/>
      </c:catAx>
      <c:valAx>
        <c:axId val="2093733711"/>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20937332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report!PivotTable6</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59798520778147"/>
        </c:manualLayout>
      </c:layout>
      <c:areaChart>
        <c:grouping val="standard"/>
        <c:varyColors val="0"/>
        <c:ser>
          <c:idx val="0"/>
          <c:order val="0"/>
          <c:tx>
            <c:strRef>
              <c:f>'pivot report'!$K$3</c:f>
              <c:strCache>
                <c:ptCount val="1"/>
                <c:pt idx="0">
                  <c:v>Total</c:v>
                </c:pt>
              </c:strCache>
            </c:strRef>
          </c:tx>
          <c:spPr>
            <a:solidFill>
              <a:srgbClr val="0070C0"/>
            </a:solidFill>
            <a:ln w="25400">
              <a:noFill/>
            </a:ln>
            <a:effectLst/>
          </c:spPr>
          <c:cat>
            <c:multiLvlStrRef>
              <c:f>'pivot report'!$J$4:$J$35</c:f>
              <c:multiLvlStrCache>
                <c:ptCount val="30"/>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lvl>
                <c:lvl>
                  <c:pt idx="0">
                    <c:v>May</c:v>
                  </c:pt>
                </c:lvl>
              </c:multiLvlStrCache>
            </c:multiLvlStrRef>
          </c:cat>
          <c:val>
            <c:numRef>
              <c:f>'pivot report'!$K$4:$K$35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5-6B2F-4A9E-96D0-C23385338A88}"/>
            </c:ext>
          </c:extLst>
        </c:ser>
        <c:dLbls>
          <c:showLegendKey val="0"/>
          <c:showVal val="0"/>
          <c:showCatName val="0"/>
          <c:showSerName val="0"/>
          <c:showPercent val="0"/>
          <c:showBubbleSize val="0"/>
        </c:dLbls>
        <c:axId val="1221250047"/>
        <c:axId val="1221249087"/>
      </c:areaChart>
      <c:catAx>
        <c:axId val="1221250047"/>
        <c:scaling>
          <c:orientation val="minMax"/>
        </c:scaling>
        <c:delete val="1"/>
        <c:axPos val="b"/>
        <c:numFmt formatCode="General" sourceLinked="1"/>
        <c:majorTickMark val="out"/>
        <c:minorTickMark val="none"/>
        <c:tickLblPos val="nextTo"/>
        <c:crossAx val="1221249087"/>
        <c:crosses val="autoZero"/>
        <c:auto val="1"/>
        <c:lblAlgn val="ctr"/>
        <c:lblOffset val="100"/>
        <c:noMultiLvlLbl val="0"/>
      </c:catAx>
      <c:valAx>
        <c:axId val="1221249087"/>
        <c:scaling>
          <c:orientation val="minMax"/>
        </c:scaling>
        <c:delete val="1"/>
        <c:axPos val="l"/>
        <c:numFmt formatCode="0.00" sourceLinked="1"/>
        <c:majorTickMark val="none"/>
        <c:minorTickMark val="none"/>
        <c:tickLblPos val="nextTo"/>
        <c:crossAx val="12212500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dLbl>
          <c:idx val="0"/>
          <c:layout>
            <c:manualLayout>
              <c:x val="5.3251501104473204E-18"/>
              <c:y val="-2.93058663267904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1191870794361822E-2"/>
                  <c:h val="7.800283213122873E-2"/>
                </c:manualLayout>
              </c15:layout>
            </c:ext>
          </c:extLst>
        </c:dLbl>
      </c:pivotFmt>
      <c:pivotFmt>
        <c:idx val="4"/>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8002096969868203E-2"/>
                  <c:h val="8.1027747973951264E-2"/>
                </c:manualLayout>
              </c15:layout>
            </c:ext>
          </c:extLst>
        </c:dLbl>
      </c:pivotFmt>
    </c:pivotFmts>
    <c:plotArea>
      <c:layout>
        <c:manualLayout>
          <c:layoutTarget val="inner"/>
          <c:xMode val="edge"/>
          <c:yMode val="edge"/>
          <c:x val="0"/>
          <c:y val="3.6548051776525023E-2"/>
          <c:w val="1"/>
          <c:h val="0.79586069108016499"/>
        </c:manualLayout>
      </c:layout>
      <c:barChart>
        <c:barDir val="col"/>
        <c:grouping val="clustered"/>
        <c:varyColors val="0"/>
        <c:ser>
          <c:idx val="0"/>
          <c:order val="0"/>
          <c:tx>
            <c:strRef>
              <c:f>'pivot report'!$B$56</c:f>
              <c:strCache>
                <c:ptCount val="1"/>
                <c:pt idx="0">
                  <c:v>Total</c:v>
                </c:pt>
              </c:strCache>
            </c:strRef>
          </c:tx>
          <c:spPr>
            <a:solidFill>
              <a:srgbClr val="0070C0"/>
            </a:solidFill>
            <a:ln>
              <a:noFill/>
            </a:ln>
            <a:effectLst/>
          </c:spPr>
          <c:invertIfNegative val="0"/>
          <c:dPt>
            <c:idx val="0"/>
            <c:invertIfNegative val="0"/>
            <c:bubble3D val="0"/>
            <c:extLst>
              <c:ext xmlns:c16="http://schemas.microsoft.com/office/drawing/2014/chart" uri="{C3380CC4-5D6E-409C-BE32-E72D297353CC}">
                <c16:uniqueId val="{00000000-9693-423E-94A1-AF8FE86A44F2}"/>
              </c:ext>
            </c:extLst>
          </c:dPt>
          <c:dPt>
            <c:idx val="2"/>
            <c:invertIfNegative val="0"/>
            <c:bubble3D val="0"/>
            <c:extLst>
              <c:ext xmlns:c16="http://schemas.microsoft.com/office/drawing/2014/chart" uri="{C3380CC4-5D6E-409C-BE32-E72D297353CC}">
                <c16:uniqueId val="{00000001-9693-423E-94A1-AF8FE86A44F2}"/>
              </c:ext>
            </c:extLst>
          </c:dPt>
          <c:dLbls>
            <c:dLbl>
              <c:idx val="0"/>
              <c:layout>
                <c:manualLayout>
                  <c:x val="5.3251501104473204E-18"/>
                  <c:y val="-2.93058663267904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1191870794361822E-2"/>
                      <c:h val="7.800283213122873E-2"/>
                    </c:manualLayout>
                  </c15:layout>
                </c:ext>
                <c:ext xmlns:c16="http://schemas.microsoft.com/office/drawing/2014/chart" uri="{C3380CC4-5D6E-409C-BE32-E72D297353CC}">
                  <c16:uniqueId val="{00000000-9693-423E-94A1-AF8FE86A44F2}"/>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8002096969868203E-2"/>
                      <c:h val="8.1027747973951264E-2"/>
                    </c:manualLayout>
                  </c15:layout>
                </c:ext>
                <c:ext xmlns:c16="http://schemas.microsoft.com/office/drawing/2014/chart" uri="{C3380CC4-5D6E-409C-BE32-E72D297353CC}">
                  <c16:uniqueId val="{00000001-9693-423E-94A1-AF8FE86A44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report'!$A$57:$A$65</c:f>
              <c:strCache>
                <c:ptCount val="8"/>
                <c:pt idx="0">
                  <c:v>0-9</c:v>
                </c:pt>
                <c:pt idx="1">
                  <c:v>10-19</c:v>
                </c:pt>
                <c:pt idx="2">
                  <c:v>20-29</c:v>
                </c:pt>
                <c:pt idx="3">
                  <c:v>30-39</c:v>
                </c:pt>
                <c:pt idx="4">
                  <c:v>40-49</c:v>
                </c:pt>
                <c:pt idx="5">
                  <c:v>50-59</c:v>
                </c:pt>
                <c:pt idx="6">
                  <c:v>60-69</c:v>
                </c:pt>
                <c:pt idx="7">
                  <c:v>70-79</c:v>
                </c:pt>
              </c:strCache>
            </c:strRef>
          </c:cat>
          <c:val>
            <c:numRef>
              <c:f>'pivot report'!$B$57:$B$65</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7-8C78-4BFB-A887-95DCCBC691E1}"/>
            </c:ext>
          </c:extLst>
        </c:ser>
        <c:dLbls>
          <c:showLegendKey val="0"/>
          <c:showVal val="0"/>
          <c:showCatName val="0"/>
          <c:showSerName val="0"/>
          <c:showPercent val="0"/>
          <c:showBubbleSize val="0"/>
        </c:dLbls>
        <c:gapWidth val="150"/>
        <c:overlap val="-27"/>
        <c:axId val="537853583"/>
        <c:axId val="537825263"/>
      </c:barChart>
      <c:catAx>
        <c:axId val="53785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25263"/>
        <c:crosses val="autoZero"/>
        <c:auto val="1"/>
        <c:lblAlgn val="ctr"/>
        <c:lblOffset val="100"/>
        <c:noMultiLvlLbl val="0"/>
      </c:catAx>
      <c:valAx>
        <c:axId val="537825263"/>
        <c:scaling>
          <c:orientation val="minMax"/>
        </c:scaling>
        <c:delete val="1"/>
        <c:axPos val="l"/>
        <c:numFmt formatCode="0" sourceLinked="1"/>
        <c:majorTickMark val="none"/>
        <c:minorTickMark val="none"/>
        <c:tickLblPos val="nextTo"/>
        <c:crossAx val="53785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report!PivotTable9</c:name>
    <c:fmtId val="1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8.3908115248283663E-2"/>
          <c:y val="0.18955475225043567"/>
          <c:w val="0.78441250482743008"/>
          <c:h val="0.77940475579442881"/>
        </c:manualLayout>
      </c:layout>
      <c:pieChart>
        <c:varyColors val="1"/>
        <c:ser>
          <c:idx val="0"/>
          <c:order val="0"/>
          <c:tx>
            <c:strRef>
              <c:f>'pivot report'!$C$69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54C-4403-9F54-6B30963B543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54C-4403-9F54-6B30963B5436}"/>
              </c:ext>
            </c:extLst>
          </c:dPt>
          <c:dLbls>
            <c:dLbl>
              <c:idx val="0"/>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4C-4403-9F54-6B30963B5436}"/>
                </c:ext>
              </c:extLst>
            </c:dLbl>
            <c:dLbl>
              <c:idx val="1"/>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54C-4403-9F54-6B30963B543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report'!$B$70:$B$72</c:f>
              <c:strCache>
                <c:ptCount val="2"/>
                <c:pt idx="0">
                  <c:v>Delay</c:v>
                </c:pt>
                <c:pt idx="1">
                  <c:v>OnTime</c:v>
                </c:pt>
              </c:strCache>
            </c:strRef>
          </c:cat>
          <c:val>
            <c:numRef>
              <c:f>'pivot report'!$C$70:$C$72</c:f>
              <c:numCache>
                <c:formatCode>0</c:formatCode>
                <c:ptCount val="2"/>
                <c:pt idx="0">
                  <c:v>267</c:v>
                </c:pt>
                <c:pt idx="1">
                  <c:v>213</c:v>
                </c:pt>
              </c:numCache>
            </c:numRef>
          </c:val>
          <c:extLst>
            <c:ext xmlns:c16="http://schemas.microsoft.com/office/drawing/2014/chart" uri="{C3380CC4-5D6E-409C-BE32-E72D297353CC}">
              <c16:uniqueId val="{00000009-0FC4-47E9-BD38-6C39D1CBEB5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249806287835368"/>
          <c:y val="0"/>
          <c:w val="0.67474469551933813"/>
          <c:h val="0.157906797544281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report!PivotTable10</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247696248188201"/>
          <c:y val="0.15973900689533821"/>
          <c:w val="0.76671713385506901"/>
          <c:h val="0.80919944311888126"/>
        </c:manualLayout>
      </c:layout>
      <c:doughnutChart>
        <c:varyColors val="1"/>
        <c:ser>
          <c:idx val="0"/>
          <c:order val="0"/>
          <c:tx>
            <c:strRef>
              <c:f>'pivot report'!$C$75</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EFD-48E3-B072-0B84D05F6B0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EFD-48E3-B072-0B84D05F6B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report'!$B$76:$B$78</c:f>
              <c:strCache>
                <c:ptCount val="2"/>
                <c:pt idx="0">
                  <c:v>F</c:v>
                </c:pt>
                <c:pt idx="1">
                  <c:v>M</c:v>
                </c:pt>
              </c:strCache>
            </c:strRef>
          </c:cat>
          <c:val>
            <c:numRef>
              <c:f>'pivot report'!$C$76:$C$78</c:f>
              <c:numCache>
                <c:formatCode>0.00</c:formatCode>
                <c:ptCount val="2"/>
                <c:pt idx="0">
                  <c:v>261</c:v>
                </c:pt>
                <c:pt idx="1">
                  <c:v>219</c:v>
                </c:pt>
              </c:numCache>
            </c:numRef>
          </c:val>
          <c:extLst>
            <c:ext xmlns:c16="http://schemas.microsoft.com/office/drawing/2014/chart" uri="{C3380CC4-5D6E-409C-BE32-E72D297353CC}">
              <c16:uniqueId val="{00000009-25EB-4886-B6F4-B7E01C0FB69E}"/>
            </c:ext>
          </c:extLst>
        </c:ser>
        <c:dLbls>
          <c:showLegendKey val="0"/>
          <c:showVal val="0"/>
          <c:showCatName val="0"/>
          <c:showSerName val="0"/>
          <c:showPercent val="1"/>
          <c:showBubbleSize val="0"/>
          <c:showLeaderLines val="1"/>
        </c:dLbls>
        <c:firstSliceAng val="0"/>
        <c:holeSize val="43"/>
      </c:doughnutChart>
      <c:spPr>
        <a:noFill/>
        <a:ln>
          <a:noFill/>
        </a:ln>
        <a:effectLst/>
      </c:spPr>
    </c:plotArea>
    <c:legend>
      <c:legendPos val="r"/>
      <c:layout>
        <c:manualLayout>
          <c:xMode val="edge"/>
          <c:yMode val="edge"/>
          <c:x val="0.27615375448290119"/>
          <c:y val="7.0025260395207151E-3"/>
          <c:w val="0.4143941266290051"/>
          <c:h val="0.108196524263796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solidFill>
              <a:srgbClr val="0070C0"/>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417539976392136"/>
                  <c:h val="8.5769792937381795E-2"/>
                </c:manualLayout>
              </c15:layout>
            </c:ext>
          </c:extLst>
        </c:dLbl>
      </c:pivotFmt>
      <c:pivotFmt>
        <c:idx val="4"/>
        <c:spPr>
          <a:solidFill>
            <a:srgbClr val="0070C0"/>
          </a:solidFill>
          <a:ln>
            <a:noFill/>
          </a:ln>
          <a:effectLst/>
        </c:spPr>
      </c:pivotFmt>
      <c:pivotFmt>
        <c:idx val="5"/>
        <c:spPr>
          <a:solidFill>
            <a:srgbClr val="0070C0"/>
          </a:solidFill>
          <a:ln>
            <a:noFill/>
          </a:ln>
          <a:effectLst/>
        </c:spPr>
      </c:pivotFmt>
      <c:pivotFmt>
        <c:idx val="6"/>
        <c:spPr>
          <a:solidFill>
            <a:srgbClr val="0070C0"/>
          </a:solidFill>
          <a:ln>
            <a:noFill/>
          </a:ln>
          <a:effectLst/>
        </c:spPr>
      </c:pivotFmt>
    </c:pivotFmts>
    <c:plotArea>
      <c:layout>
        <c:manualLayout>
          <c:layoutTarget val="inner"/>
          <c:xMode val="edge"/>
          <c:yMode val="edge"/>
          <c:x val="0.27573927567411521"/>
          <c:y val="3.2407407407407406E-2"/>
          <c:w val="0.72426091610533594"/>
          <c:h val="0.91666666666666663"/>
        </c:manualLayout>
      </c:layout>
      <c:barChart>
        <c:barDir val="bar"/>
        <c:grouping val="clustered"/>
        <c:varyColors val="0"/>
        <c:ser>
          <c:idx val="0"/>
          <c:order val="0"/>
          <c:tx>
            <c:strRef>
              <c:f>'pivot report'!$C$81</c:f>
              <c:strCache>
                <c:ptCount val="1"/>
                <c:pt idx="0">
                  <c:v>Total</c:v>
                </c:pt>
              </c:strCache>
            </c:strRef>
          </c:tx>
          <c:spPr>
            <a:solidFill>
              <a:srgbClr val="0070C0"/>
            </a:solidFill>
            <a:ln>
              <a:noFill/>
            </a:ln>
            <a:effectLst/>
          </c:spPr>
          <c:invertIfNegative val="0"/>
          <c:dPt>
            <c:idx val="7"/>
            <c:invertIfNegative val="0"/>
            <c:bubble3D val="0"/>
            <c:spPr>
              <a:solidFill>
                <a:srgbClr val="0070C0"/>
              </a:solidFill>
              <a:ln>
                <a:solidFill>
                  <a:srgbClr val="0070C0"/>
                </a:solidFill>
              </a:ln>
              <a:effectLst/>
            </c:spPr>
            <c:extLst>
              <c:ext xmlns:c16="http://schemas.microsoft.com/office/drawing/2014/chart" uri="{C3380CC4-5D6E-409C-BE32-E72D297353CC}">
                <c16:uniqueId val="{00000008-AFF8-4894-8951-4C4763B2A28A}"/>
              </c:ext>
            </c:extLst>
          </c:dPt>
          <c:dLbls>
            <c:dLbl>
              <c:idx val="7"/>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417539976392136"/>
                      <c:h val="8.5769792937381795E-2"/>
                    </c:manualLayout>
                  </c15:layout>
                </c:ext>
                <c:ext xmlns:c16="http://schemas.microsoft.com/office/drawing/2014/chart" uri="{C3380CC4-5D6E-409C-BE32-E72D297353CC}">
                  <c16:uniqueId val="{00000008-AFF8-4894-8951-4C4763B2A2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report'!$B$82:$B$90</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report'!$C$82:$C$90</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7-AFF8-4894-8951-4C4763B2A28A}"/>
            </c:ext>
          </c:extLst>
        </c:ser>
        <c:dLbls>
          <c:showLegendKey val="0"/>
          <c:showVal val="0"/>
          <c:showCatName val="0"/>
          <c:showSerName val="0"/>
          <c:showPercent val="0"/>
          <c:showBubbleSize val="0"/>
        </c:dLbls>
        <c:gapWidth val="30"/>
        <c:axId val="755976031"/>
        <c:axId val="755963551"/>
      </c:barChart>
      <c:catAx>
        <c:axId val="75597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963551"/>
        <c:crosses val="autoZero"/>
        <c:auto val="1"/>
        <c:lblAlgn val="ctr"/>
        <c:lblOffset val="100"/>
        <c:noMultiLvlLbl val="0"/>
      </c:catAx>
      <c:valAx>
        <c:axId val="755963551"/>
        <c:scaling>
          <c:orientation val="minMax"/>
        </c:scaling>
        <c:delete val="1"/>
        <c:axPos val="b"/>
        <c:numFmt formatCode="0" sourceLinked="1"/>
        <c:majorTickMark val="none"/>
        <c:minorTickMark val="none"/>
        <c:tickLblPos val="nextTo"/>
        <c:crossAx val="75597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report!PivotTable1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s>
    <c:plotArea>
      <c:layout>
        <c:manualLayout>
          <c:layoutTarget val="inner"/>
          <c:xMode val="edge"/>
          <c:yMode val="edge"/>
          <c:x val="6.7501822190146887E-5"/>
          <c:y val="0.23430592396109637"/>
          <c:w val="0.99993249817780983"/>
          <c:h val="0.53229251515974296"/>
        </c:manualLayout>
      </c:layout>
      <c:areaChart>
        <c:grouping val="standard"/>
        <c:varyColors val="0"/>
        <c:ser>
          <c:idx val="0"/>
          <c:order val="0"/>
          <c:tx>
            <c:strRef>
              <c:f>'pivot report'!$D$3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report'!$C$4:$C$36</c:f>
              <c:multiLvlStrCache>
                <c:ptCount val="31"/>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lvl>
                <c:lvl>
                  <c:pt idx="0">
                    <c:v>May</c:v>
                  </c:pt>
                </c:lvl>
              </c:multiLvlStrCache>
            </c:multiLvlStrRef>
          </c:cat>
          <c:val>
            <c:numRef>
              <c:f>'pivot report'!$D$4:$D$36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5-D031-4F4A-9D3A-AC2F1DB4DC8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60364207"/>
        <c:axId val="560364687"/>
      </c:areaChart>
      <c:catAx>
        <c:axId val="5603642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0364687"/>
        <c:crosses val="autoZero"/>
        <c:auto val="1"/>
        <c:lblAlgn val="ctr"/>
        <c:lblOffset val="100"/>
        <c:noMultiLvlLbl val="0"/>
      </c:catAx>
      <c:valAx>
        <c:axId val="560364687"/>
        <c:scaling>
          <c:orientation val="minMax"/>
        </c:scaling>
        <c:delete val="1"/>
        <c:axPos val="l"/>
        <c:numFmt formatCode="General" sourceLinked="1"/>
        <c:majorTickMark val="out"/>
        <c:minorTickMark val="none"/>
        <c:tickLblPos val="nextTo"/>
        <c:crossAx val="560364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report!PivotTable5</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870027623169887"/>
          <c:w val="1"/>
          <c:h val="0.66410134477572313"/>
        </c:manualLayout>
      </c:layout>
      <c:areaChart>
        <c:grouping val="standard"/>
        <c:varyColors val="0"/>
        <c:ser>
          <c:idx val="0"/>
          <c:order val="0"/>
          <c:tx>
            <c:strRef>
              <c:f>'pivot 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report'!$F$4:$F$36</c:f>
              <c:multiLvlStrCache>
                <c:ptCount val="31"/>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lvl>
                <c:lvl>
                  <c:pt idx="0">
                    <c:v>May</c:v>
                  </c:pt>
                </c:lvl>
              </c:multiLvlStrCache>
            </c:multiLvlStrRef>
          </c:cat>
          <c:val>
            <c:numRef>
              <c:f>'pivot report'!$G$4:$G$36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5-B59C-4F04-A173-F7868B9EC67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93733231"/>
        <c:axId val="2093733711"/>
      </c:areaChart>
      <c:catAx>
        <c:axId val="20937332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93733711"/>
        <c:crosses val="autoZero"/>
        <c:auto val="1"/>
        <c:lblAlgn val="ctr"/>
        <c:lblOffset val="100"/>
        <c:noMultiLvlLbl val="0"/>
      </c:catAx>
      <c:valAx>
        <c:axId val="2093733711"/>
        <c:scaling>
          <c:orientation val="minMax"/>
        </c:scaling>
        <c:delete val="1"/>
        <c:axPos val="l"/>
        <c:numFmt formatCode="0.00" sourceLinked="1"/>
        <c:majorTickMark val="out"/>
        <c:minorTickMark val="none"/>
        <c:tickLblPos val="nextTo"/>
        <c:crossAx val="20937332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report!PivotTable6</c:name>
    <c:fmtId val="5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22986622986617E-3"/>
          <c:y val="7.407407407407407E-2"/>
          <c:w val="0.9963233688233688"/>
          <c:h val="0.70510863225430154"/>
        </c:manualLayout>
      </c:layout>
      <c:areaChart>
        <c:grouping val="standard"/>
        <c:varyColors val="0"/>
        <c:ser>
          <c:idx val="0"/>
          <c:order val="0"/>
          <c:tx>
            <c:strRef>
              <c:f>'pivot report'!$K$3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report'!$J$4:$J$35</c:f>
              <c:multiLvlStrCache>
                <c:ptCount val="30"/>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lvl>
                <c:lvl>
                  <c:pt idx="0">
                    <c:v>May</c:v>
                  </c:pt>
                </c:lvl>
              </c:multiLvlStrCache>
            </c:multiLvlStrRef>
          </c:cat>
          <c:val>
            <c:numRef>
              <c:f>'pivot report'!$K$4:$K$35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5-DCBB-47DC-B934-201345077DD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83759327"/>
        <c:axId val="1483749247"/>
      </c:areaChart>
      <c:catAx>
        <c:axId val="14837593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83749247"/>
        <c:crosses val="autoZero"/>
        <c:auto val="1"/>
        <c:lblAlgn val="ctr"/>
        <c:lblOffset val="100"/>
        <c:noMultiLvlLbl val="0"/>
      </c:catAx>
      <c:valAx>
        <c:axId val="1483749247"/>
        <c:scaling>
          <c:orientation val="minMax"/>
        </c:scaling>
        <c:delete val="1"/>
        <c:axPos val="l"/>
        <c:numFmt formatCode="0.00" sourceLinked="1"/>
        <c:majorTickMark val="out"/>
        <c:minorTickMark val="none"/>
        <c:tickLblPos val="nextTo"/>
        <c:crossAx val="14837593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report!PivotTable7</c:name>
    <c:fmtId val="2"/>
  </c:pivotSource>
  <c:chart>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spPr>
          <a:solidFill>
            <a:srgbClr val="0070C0"/>
          </a:solidFill>
          <a:ln>
            <a:noFill/>
          </a:ln>
          <a:effectLst/>
        </c:spPr>
        <c:dLbl>
          <c:idx val="0"/>
          <c:layout>
            <c:manualLayout>
              <c:x val="4.5045045045045043E-2"/>
              <c:y val="-1.8722550600029402E-17"/>
            </c:manualLayout>
          </c:layout>
          <c:spPr>
            <a:noFill/>
            <a:ln>
              <a:noFill/>
            </a:ln>
            <a:effectLst/>
          </c:spPr>
          <c:txPr>
            <a:bodyPr rot="0" spcFirstLastPara="1" vertOverflow="ellipsis" vert="horz" wrap="non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manualLayout>
          <c:layoutTarget val="inner"/>
          <c:xMode val="edge"/>
          <c:yMode val="edge"/>
          <c:x val="7.8974347819782201E-2"/>
          <c:y val="0"/>
          <c:w val="0.91300155160162988"/>
          <c:h val="0.93464052287581711"/>
        </c:manualLayout>
      </c:layout>
      <c:barChart>
        <c:barDir val="bar"/>
        <c:grouping val="clustered"/>
        <c:varyColors val="0"/>
        <c:ser>
          <c:idx val="0"/>
          <c:order val="0"/>
          <c:tx>
            <c:strRef>
              <c:f>'pivot report'!$G$46</c:f>
              <c:strCache>
                <c:ptCount val="1"/>
                <c:pt idx="0">
                  <c:v>Count of Patient Admission Flag</c:v>
                </c:pt>
              </c:strCache>
            </c:strRef>
          </c:tx>
          <c:spPr>
            <a:solidFill>
              <a:srgbClr val="0070C0"/>
            </a:solidFill>
            <a:ln>
              <a:noFill/>
            </a:ln>
            <a:effectLst/>
          </c:spPr>
          <c:invertIfNegative val="0"/>
          <c:dPt>
            <c:idx val="1"/>
            <c:invertIfNegative val="0"/>
            <c:bubble3D val="0"/>
            <c:extLst>
              <c:ext xmlns:c16="http://schemas.microsoft.com/office/drawing/2014/chart" uri="{C3380CC4-5D6E-409C-BE32-E72D297353CC}">
                <c16:uniqueId val="{00000000-B6E3-4178-9E50-45933AD79ACA}"/>
              </c:ext>
            </c:extLst>
          </c:dPt>
          <c:dLbls>
            <c:dLbl>
              <c:idx val="1"/>
              <c:layout>
                <c:manualLayout>
                  <c:x val="4.5045045045045043E-2"/>
                  <c:y val="-1.8722550600029402E-17"/>
                </c:manualLayout>
              </c:layout>
              <c:spPr>
                <a:noFill/>
                <a:ln>
                  <a:noFill/>
                </a:ln>
                <a:effectLst/>
              </c:spPr>
              <c:txPr>
                <a:bodyPr rot="0" spcFirstLastPara="1" vertOverflow="ellipsis" vert="horz" wrap="non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 xmlns:c16="http://schemas.microsoft.com/office/drawing/2014/chart" uri="{C3380CC4-5D6E-409C-BE32-E72D297353CC}">
                  <c16:uniqueId val="{00000000-B6E3-4178-9E50-45933AD79ACA}"/>
                </c:ext>
              </c:extLst>
            </c:dLbl>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report'!$F$47:$F$49</c:f>
              <c:strCache>
                <c:ptCount val="2"/>
                <c:pt idx="0">
                  <c:v>Admitted</c:v>
                </c:pt>
                <c:pt idx="1">
                  <c:v>Not-admitted</c:v>
                </c:pt>
              </c:strCache>
            </c:strRef>
          </c:cat>
          <c:val>
            <c:numRef>
              <c:f>'pivot report'!$G$47:$G$49</c:f>
              <c:numCache>
                <c:formatCode>0</c:formatCode>
                <c:ptCount val="2"/>
                <c:pt idx="0">
                  <c:v>229</c:v>
                </c:pt>
                <c:pt idx="1">
                  <c:v>251</c:v>
                </c:pt>
              </c:numCache>
            </c:numRef>
          </c:val>
          <c:extLst>
            <c:ext xmlns:c16="http://schemas.microsoft.com/office/drawing/2014/chart" uri="{C3380CC4-5D6E-409C-BE32-E72D297353CC}">
              <c16:uniqueId val="{0000000B-1231-410E-AC0C-AB47E96F5D44}"/>
            </c:ext>
          </c:extLst>
        </c:ser>
        <c:ser>
          <c:idx val="1"/>
          <c:order val="1"/>
          <c:tx>
            <c:strRef>
              <c:f>'pivot report'!$H$46</c:f>
              <c:strCache>
                <c:ptCount val="1"/>
                <c:pt idx="0">
                  <c:v>Count of Patient Admission Flag2</c:v>
                </c:pt>
              </c:strCache>
            </c:strRef>
          </c:tx>
          <c:spPr>
            <a:solidFill>
              <a:schemeClr val="accent2"/>
            </a:solidFill>
            <a:ln>
              <a:noFill/>
            </a:ln>
            <a:effectLst/>
          </c:spPr>
          <c:invertIfNegative val="0"/>
          <c:cat>
            <c:strRef>
              <c:f>'pivot report'!$F$47:$F$49</c:f>
              <c:strCache>
                <c:ptCount val="2"/>
                <c:pt idx="0">
                  <c:v>Admitted</c:v>
                </c:pt>
                <c:pt idx="1">
                  <c:v>Not-admitted</c:v>
                </c:pt>
              </c:strCache>
            </c:strRef>
          </c:cat>
          <c:val>
            <c:numRef>
              <c:f>'pivot report'!$H$47:$H$49</c:f>
              <c:numCache>
                <c:formatCode>0.00%</c:formatCode>
                <c:ptCount val="2"/>
                <c:pt idx="0">
                  <c:v>0.47708333333333336</c:v>
                </c:pt>
                <c:pt idx="1">
                  <c:v>0.5229166666666667</c:v>
                </c:pt>
              </c:numCache>
            </c:numRef>
          </c:val>
          <c:extLst>
            <c:ext xmlns:c16="http://schemas.microsoft.com/office/drawing/2014/chart" uri="{C3380CC4-5D6E-409C-BE32-E72D297353CC}">
              <c16:uniqueId val="{0000000C-1231-410E-AC0C-AB47E96F5D44}"/>
            </c:ext>
          </c:extLst>
        </c:ser>
        <c:dLbls>
          <c:showLegendKey val="0"/>
          <c:showVal val="0"/>
          <c:showCatName val="0"/>
          <c:showSerName val="0"/>
          <c:showPercent val="0"/>
          <c:showBubbleSize val="0"/>
        </c:dLbls>
        <c:gapWidth val="0"/>
        <c:axId val="352476751"/>
        <c:axId val="352474351"/>
      </c:barChart>
      <c:catAx>
        <c:axId val="352476751"/>
        <c:scaling>
          <c:orientation val="minMax"/>
        </c:scaling>
        <c:delete val="1"/>
        <c:axPos val="l"/>
        <c:numFmt formatCode="General" sourceLinked="1"/>
        <c:majorTickMark val="none"/>
        <c:minorTickMark val="none"/>
        <c:tickLblPos val="nextTo"/>
        <c:crossAx val="352474351"/>
        <c:crosses val="autoZero"/>
        <c:auto val="1"/>
        <c:lblAlgn val="ctr"/>
        <c:lblOffset val="100"/>
        <c:noMultiLvlLbl val="0"/>
      </c:catAx>
      <c:valAx>
        <c:axId val="352474351"/>
        <c:scaling>
          <c:orientation val="minMax"/>
        </c:scaling>
        <c:delete val="1"/>
        <c:axPos val="b"/>
        <c:numFmt formatCode="0" sourceLinked="1"/>
        <c:majorTickMark val="none"/>
        <c:minorTickMark val="none"/>
        <c:tickLblPos val="nextTo"/>
        <c:crossAx val="35247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Sheet1!A1"/><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8.emf"/><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8.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56073</xdr:colOff>
      <xdr:row>0</xdr:row>
      <xdr:rowOff>17567</xdr:rowOff>
    </xdr:from>
    <xdr:to>
      <xdr:col>8</xdr:col>
      <xdr:colOff>239517</xdr:colOff>
      <xdr:row>5</xdr:row>
      <xdr:rowOff>10512</xdr:rowOff>
    </xdr:to>
    <xdr:sp macro="" textlink="">
      <xdr:nvSpPr>
        <xdr:cNvPr id="2" name="Rectangle: Rounded Corners 1">
          <a:extLst>
            <a:ext uri="{FF2B5EF4-FFF2-40B4-BE49-F238E27FC236}">
              <a16:creationId xmlns:a16="http://schemas.microsoft.com/office/drawing/2014/main" id="{940F5810-F290-DCA0-28CB-82F7F58E6F62}"/>
            </a:ext>
          </a:extLst>
        </xdr:cNvPr>
        <xdr:cNvSpPr/>
      </xdr:nvSpPr>
      <xdr:spPr>
        <a:xfrm>
          <a:off x="56073" y="17567"/>
          <a:ext cx="5049549" cy="895313"/>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endParaRPr lang="en-IN" sz="1100">
            <a:ln>
              <a:noFill/>
            </a:ln>
          </a:endParaRPr>
        </a:p>
      </xdr:txBody>
    </xdr:sp>
    <xdr:clientData/>
  </xdr:twoCellAnchor>
  <xdr:twoCellAnchor editAs="absolute">
    <xdr:from>
      <xdr:col>8</xdr:col>
      <xdr:colOff>264964</xdr:colOff>
      <xdr:row>0</xdr:row>
      <xdr:rowOff>23903</xdr:rowOff>
    </xdr:from>
    <xdr:to>
      <xdr:col>11</xdr:col>
      <xdr:colOff>97693</xdr:colOff>
      <xdr:row>5</xdr:row>
      <xdr:rowOff>2172</xdr:rowOff>
    </xdr:to>
    <xdr:sp macro="" textlink="">
      <xdr:nvSpPr>
        <xdr:cNvPr id="3" name="Rectangle: Rounded Corners 2">
          <a:extLst>
            <a:ext uri="{FF2B5EF4-FFF2-40B4-BE49-F238E27FC236}">
              <a16:creationId xmlns:a16="http://schemas.microsoft.com/office/drawing/2014/main" id="{E2057659-07DE-777A-8F3F-EF9ED6600A48}"/>
            </a:ext>
          </a:extLst>
        </xdr:cNvPr>
        <xdr:cNvSpPr/>
      </xdr:nvSpPr>
      <xdr:spPr>
        <a:xfrm>
          <a:off x="5162605" y="23903"/>
          <a:ext cx="1669344" cy="890064"/>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11</xdr:col>
      <xdr:colOff>123744</xdr:colOff>
      <xdr:row>0</xdr:row>
      <xdr:rowOff>26051</xdr:rowOff>
    </xdr:from>
    <xdr:to>
      <xdr:col>14</xdr:col>
      <xdr:colOff>26051</xdr:colOff>
      <xdr:row>10</xdr:row>
      <xdr:rowOff>132318</xdr:rowOff>
    </xdr:to>
    <xdr:sp macro="" textlink="">
      <xdr:nvSpPr>
        <xdr:cNvPr id="4" name="Rectangle: Rounded Corners 3">
          <a:extLst>
            <a:ext uri="{FF2B5EF4-FFF2-40B4-BE49-F238E27FC236}">
              <a16:creationId xmlns:a16="http://schemas.microsoft.com/office/drawing/2014/main" id="{2A331B07-D0EB-446F-64D4-404B4EDEB8F3}"/>
            </a:ext>
          </a:extLst>
        </xdr:cNvPr>
        <xdr:cNvSpPr/>
      </xdr:nvSpPr>
      <xdr:spPr>
        <a:xfrm>
          <a:off x="6814639" y="26051"/>
          <a:ext cx="1727096" cy="1911004"/>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14</xdr:col>
      <xdr:colOff>65128</xdr:colOff>
      <xdr:row>0</xdr:row>
      <xdr:rowOff>26051</xdr:rowOff>
    </xdr:from>
    <xdr:to>
      <xdr:col>17</xdr:col>
      <xdr:colOff>120128</xdr:colOff>
      <xdr:row>10</xdr:row>
      <xdr:rowOff>137201</xdr:rowOff>
    </xdr:to>
    <xdr:sp macro="" textlink="">
      <xdr:nvSpPr>
        <xdr:cNvPr id="5" name="Rectangle: Rounded Corners 4">
          <a:extLst>
            <a:ext uri="{FF2B5EF4-FFF2-40B4-BE49-F238E27FC236}">
              <a16:creationId xmlns:a16="http://schemas.microsoft.com/office/drawing/2014/main" id="{A7FBBC6B-B9FB-60BF-94E7-EB381D678370}"/>
            </a:ext>
          </a:extLst>
        </xdr:cNvPr>
        <xdr:cNvSpPr/>
      </xdr:nvSpPr>
      <xdr:spPr>
        <a:xfrm>
          <a:off x="8636000" y="26051"/>
          <a:ext cx="1891615" cy="193474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96140</xdr:colOff>
      <xdr:row>5</xdr:row>
      <xdr:rowOff>61993</xdr:rowOff>
    </xdr:from>
    <xdr:to>
      <xdr:col>1</xdr:col>
      <xdr:colOff>484195</xdr:colOff>
      <xdr:row>25</xdr:row>
      <xdr:rowOff>19195</xdr:rowOff>
    </xdr:to>
    <xdr:sp macro="" textlink="">
      <xdr:nvSpPr>
        <xdr:cNvPr id="6" name="Rectangle: Rounded Corners 5">
          <a:extLst>
            <a:ext uri="{FF2B5EF4-FFF2-40B4-BE49-F238E27FC236}">
              <a16:creationId xmlns:a16="http://schemas.microsoft.com/office/drawing/2014/main" id="{52EFE7D7-315E-F39A-50F7-FA8D24116E98}"/>
            </a:ext>
          </a:extLst>
        </xdr:cNvPr>
        <xdr:cNvSpPr/>
      </xdr:nvSpPr>
      <xdr:spPr>
        <a:xfrm>
          <a:off x="96140" y="964361"/>
          <a:ext cx="996318" cy="3566676"/>
        </a:xfrm>
        <a:prstGeom prst="roundRect">
          <a:avLst>
            <a:gd name="adj" fmla="val 5192"/>
          </a:avLst>
        </a:prstGeom>
        <a:ln>
          <a:noFill/>
        </a:ln>
      </xdr:spPr>
      <xdr:style>
        <a:lnRef idx="2">
          <a:schemeClr val="dk1"/>
        </a:lnRef>
        <a:fillRef idx="100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535604</xdr:colOff>
      <xdr:row>5</xdr:row>
      <xdr:rowOff>49623</xdr:rowOff>
    </xdr:from>
    <xdr:to>
      <xdr:col>4</xdr:col>
      <xdr:colOff>514514</xdr:colOff>
      <xdr:row>10</xdr:row>
      <xdr:rowOff>104205</xdr:rowOff>
    </xdr:to>
    <xdr:sp macro="" textlink="">
      <xdr:nvSpPr>
        <xdr:cNvPr id="7" name="Rectangle: Rounded Corners 6">
          <a:extLst>
            <a:ext uri="{FF2B5EF4-FFF2-40B4-BE49-F238E27FC236}">
              <a16:creationId xmlns:a16="http://schemas.microsoft.com/office/drawing/2014/main" id="{5B425AB5-473F-FD1B-F9F6-702035059FA6}"/>
            </a:ext>
          </a:extLst>
        </xdr:cNvPr>
        <xdr:cNvSpPr/>
      </xdr:nvSpPr>
      <xdr:spPr>
        <a:xfrm>
          <a:off x="1147809" y="961418"/>
          <a:ext cx="1815526" cy="966377"/>
        </a:xfrm>
        <a:prstGeom prst="roundRect">
          <a:avLst>
            <a:gd name="adj" fmla="val 5192"/>
          </a:avLst>
        </a:prstGeom>
        <a:ln>
          <a:noFill/>
        </a:ln>
      </xdr:spPr>
      <xdr:style>
        <a:lnRef idx="2">
          <a:schemeClr val="dk1"/>
        </a:lnRef>
        <a:fillRef idx="100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4</xdr:col>
      <xdr:colOff>565607</xdr:colOff>
      <xdr:row>5</xdr:row>
      <xdr:rowOff>60751</xdr:rowOff>
    </xdr:from>
    <xdr:to>
      <xdr:col>8</xdr:col>
      <xdr:colOff>2502</xdr:colOff>
      <xdr:row>10</xdr:row>
      <xdr:rowOff>101159</xdr:rowOff>
    </xdr:to>
    <xdr:sp macro="" textlink="">
      <xdr:nvSpPr>
        <xdr:cNvPr id="8" name="Rectangle: Rounded Corners 7">
          <a:extLst>
            <a:ext uri="{FF2B5EF4-FFF2-40B4-BE49-F238E27FC236}">
              <a16:creationId xmlns:a16="http://schemas.microsoft.com/office/drawing/2014/main" id="{67C29FA8-88AC-4633-91DD-4D8F1184EC60}"/>
            </a:ext>
          </a:extLst>
        </xdr:cNvPr>
        <xdr:cNvSpPr/>
      </xdr:nvSpPr>
      <xdr:spPr>
        <a:xfrm>
          <a:off x="3014428" y="972546"/>
          <a:ext cx="1881773" cy="952203"/>
        </a:xfrm>
        <a:prstGeom prst="roundRect">
          <a:avLst>
            <a:gd name="adj" fmla="val 5192"/>
          </a:avLst>
        </a:prstGeom>
        <a:ln>
          <a:noFill/>
        </a:ln>
      </xdr:spPr>
      <xdr:style>
        <a:lnRef idx="2">
          <a:schemeClr val="dk1"/>
        </a:lnRef>
        <a:fillRef idx="100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39247</xdr:colOff>
      <xdr:row>5</xdr:row>
      <xdr:rowOff>40680</xdr:rowOff>
    </xdr:from>
    <xdr:to>
      <xdr:col>11</xdr:col>
      <xdr:colOff>102745</xdr:colOff>
      <xdr:row>10</xdr:row>
      <xdr:rowOff>114752</xdr:rowOff>
    </xdr:to>
    <xdr:sp macro="" textlink="">
      <xdr:nvSpPr>
        <xdr:cNvPr id="9" name="Rectangle: Rounded Corners 8">
          <a:extLst>
            <a:ext uri="{FF2B5EF4-FFF2-40B4-BE49-F238E27FC236}">
              <a16:creationId xmlns:a16="http://schemas.microsoft.com/office/drawing/2014/main" id="{2C44D152-BE71-4EF7-8783-E22961F314EF}"/>
            </a:ext>
          </a:extLst>
        </xdr:cNvPr>
        <xdr:cNvSpPr/>
      </xdr:nvSpPr>
      <xdr:spPr>
        <a:xfrm>
          <a:off x="4936888" y="952475"/>
          <a:ext cx="1900113" cy="985867"/>
        </a:xfrm>
        <a:prstGeom prst="roundRect">
          <a:avLst>
            <a:gd name="adj" fmla="val 5192"/>
          </a:avLst>
        </a:prstGeom>
        <a:ln>
          <a:noFill/>
        </a:ln>
      </xdr:spPr>
      <xdr:style>
        <a:lnRef idx="2">
          <a:schemeClr val="dk1"/>
        </a:lnRef>
        <a:fillRef idx="100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510257</xdr:colOff>
      <xdr:row>15</xdr:row>
      <xdr:rowOff>47893</xdr:rowOff>
    </xdr:from>
    <xdr:to>
      <xdr:col>11</xdr:col>
      <xdr:colOff>83560</xdr:colOff>
      <xdr:row>24</xdr:row>
      <xdr:rowOff>167986</xdr:rowOff>
    </xdr:to>
    <xdr:sp macro="" textlink="">
      <xdr:nvSpPr>
        <xdr:cNvPr id="11" name="Rectangle: Rounded Corners 10">
          <a:extLst>
            <a:ext uri="{FF2B5EF4-FFF2-40B4-BE49-F238E27FC236}">
              <a16:creationId xmlns:a16="http://schemas.microsoft.com/office/drawing/2014/main" id="{3650B8EB-96D0-4B60-A4FF-816F6DB0FBD0}"/>
            </a:ext>
          </a:extLst>
        </xdr:cNvPr>
        <xdr:cNvSpPr/>
      </xdr:nvSpPr>
      <xdr:spPr>
        <a:xfrm>
          <a:off x="1119857" y="2791093"/>
          <a:ext cx="5669303" cy="1766013"/>
        </a:xfrm>
        <a:prstGeom prst="roundRect">
          <a:avLst>
            <a:gd name="adj" fmla="val 5192"/>
          </a:avLst>
        </a:prstGeom>
        <a:solidFill>
          <a:schemeClr val="lt1"/>
        </a:solidFill>
        <a:ln>
          <a:noFill/>
        </a:ln>
        <a:effectLst/>
      </xdr:spPr>
      <xdr:style>
        <a:lnRef idx="2">
          <a:schemeClr val="dk1"/>
        </a:lnRef>
        <a:fillRef idx="1001">
          <a:schemeClr val="lt1"/>
        </a:fillRef>
        <a:effectRef idx="0">
          <a:schemeClr val="dk1"/>
        </a:effectRef>
        <a:fontRef idx="minor">
          <a:schemeClr val="dk1"/>
        </a:fontRef>
      </xdr:style>
      <xdr:txBody>
        <a:bodyPr vertOverflow="clip" horzOverflow="clip" lIns="0" tIns="0" rIns="0" bIns="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 </a:t>
          </a:r>
          <a:endParaRPr lang="en-IN">
            <a:effectLst/>
          </a:endParaRPr>
        </a:p>
        <a:p>
          <a:pPr algn="l"/>
          <a:endParaRPr lang="en-IN" sz="1100">
            <a:solidFill>
              <a:schemeClr val="dk1"/>
            </a:solidFill>
          </a:endParaRPr>
        </a:p>
      </xdr:txBody>
    </xdr:sp>
    <xdr:clientData/>
  </xdr:twoCellAnchor>
  <xdr:twoCellAnchor editAs="absolute">
    <xdr:from>
      <xdr:col>11</xdr:col>
      <xdr:colOff>170449</xdr:colOff>
      <xdr:row>10</xdr:row>
      <xdr:rowOff>152099</xdr:rowOff>
    </xdr:from>
    <xdr:to>
      <xdr:col>17</xdr:col>
      <xdr:colOff>129702</xdr:colOff>
      <xdr:row>24</xdr:row>
      <xdr:rowOff>162239</xdr:rowOff>
    </xdr:to>
    <xdr:sp macro="" textlink="">
      <xdr:nvSpPr>
        <xdr:cNvPr id="12" name="Rectangle: Rounded Corners 11">
          <a:extLst>
            <a:ext uri="{FF2B5EF4-FFF2-40B4-BE49-F238E27FC236}">
              <a16:creationId xmlns:a16="http://schemas.microsoft.com/office/drawing/2014/main" id="{7DBCA90B-DB98-4DAD-AAC2-82FE0543E92B}"/>
            </a:ext>
          </a:extLst>
        </xdr:cNvPr>
        <xdr:cNvSpPr/>
      </xdr:nvSpPr>
      <xdr:spPr>
        <a:xfrm>
          <a:off x="6858215" y="2016567"/>
          <a:ext cx="3607125" cy="2620395"/>
        </a:xfrm>
        <a:prstGeom prst="roundRect">
          <a:avLst>
            <a:gd name="adj" fmla="val 5192"/>
          </a:avLst>
        </a:prstGeom>
        <a:solidFill>
          <a:schemeClr val="lt1"/>
        </a:solidFill>
        <a:ln>
          <a:noFill/>
        </a:ln>
      </xdr:spPr>
      <xdr:style>
        <a:lnRef idx="2">
          <a:schemeClr val="dk1"/>
        </a:lnRef>
        <a:fillRef idx="1001">
          <a:schemeClr val="lt1"/>
        </a:fillRef>
        <a:effectRef idx="0">
          <a:schemeClr val="dk1"/>
        </a:effectRef>
        <a:fontRef idx="minor">
          <a:schemeClr val="dk1"/>
        </a:fontRef>
      </xdr:style>
      <xdr:txBody>
        <a:bodyPr vertOverflow="clip" horzOverflow="clip" rtlCol="0" anchor="t"/>
        <a:lstStyle/>
        <a:p>
          <a:pPr algn="l"/>
          <a:endParaRPr lang="en-IN" sz="1100">
            <a:ln>
              <a:noFill/>
            </a:ln>
          </a:endParaRPr>
        </a:p>
      </xdr:txBody>
    </xdr:sp>
    <xdr:clientData/>
  </xdr:twoCellAnchor>
  <xdr:twoCellAnchor>
    <xdr:from>
      <xdr:col>1</xdr:col>
      <xdr:colOff>333930</xdr:colOff>
      <xdr:row>0</xdr:row>
      <xdr:rowOff>116145</xdr:rowOff>
    </xdr:from>
    <xdr:to>
      <xdr:col>8</xdr:col>
      <xdr:colOff>209496</xdr:colOff>
      <xdr:row>4</xdr:row>
      <xdr:rowOff>84076</xdr:rowOff>
    </xdr:to>
    <xdr:sp macro="" textlink="">
      <xdr:nvSpPr>
        <xdr:cNvPr id="14" name="TextBox 13">
          <a:extLst>
            <a:ext uri="{FF2B5EF4-FFF2-40B4-BE49-F238E27FC236}">
              <a16:creationId xmlns:a16="http://schemas.microsoft.com/office/drawing/2014/main" id="{1EDB9A73-49E2-CC21-B3BB-287A93CF11F7}"/>
            </a:ext>
          </a:extLst>
        </xdr:cNvPr>
        <xdr:cNvSpPr txBox="1"/>
      </xdr:nvSpPr>
      <xdr:spPr>
        <a:xfrm>
          <a:off x="946135" y="116145"/>
          <a:ext cx="4161002" cy="697367"/>
        </a:xfrm>
        <a:prstGeom prst="rect">
          <a:avLst/>
        </a:prstGeom>
        <a:solidFill>
          <a:sysClr val="window" lastClr="FFFFFF"/>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solidFill>
                <a:srgbClr val="FF0000"/>
              </a:solidFill>
              <a:latin typeface="Gadugi" panose="020B0502040204020203" pitchFamily="34" charset="0"/>
              <a:ea typeface="Gadugi" panose="020B0502040204020203" pitchFamily="34" charset="0"/>
            </a:rPr>
            <a:t>Hospital Emergency Room Dashboard</a:t>
          </a:r>
        </a:p>
        <a:p>
          <a:pPr algn="ctr"/>
          <a:r>
            <a:rPr lang="en-IN" sz="1800" b="1">
              <a:solidFill>
                <a:srgbClr val="FF0000"/>
              </a:solidFill>
              <a:latin typeface="Gadugi" panose="020B0502040204020203" pitchFamily="34" charset="0"/>
              <a:ea typeface="Gadugi" panose="020B0502040204020203" pitchFamily="34" charset="0"/>
            </a:rPr>
            <a:t>  </a:t>
          </a:r>
          <a:r>
            <a:rPr lang="en-IN" sz="1600" b="1">
              <a:solidFill>
                <a:srgbClr val="FF0000"/>
              </a:solidFill>
              <a:latin typeface="Gadugi" panose="020B0502040204020203" pitchFamily="34" charset="0"/>
              <a:ea typeface="Gadugi" panose="020B0502040204020203" pitchFamily="34" charset="0"/>
            </a:rPr>
            <a:t>Monthly Report</a:t>
          </a:r>
        </a:p>
        <a:p>
          <a:r>
            <a:rPr lang="en-IN" sz="1800" b="1">
              <a:latin typeface="Gadugi" panose="020B0502040204020203" pitchFamily="34" charset="0"/>
              <a:ea typeface="Gadugi" panose="020B0502040204020203" pitchFamily="34" charset="0"/>
            </a:rPr>
            <a:t> </a:t>
          </a:r>
        </a:p>
      </xdr:txBody>
    </xdr:sp>
    <xdr:clientData/>
  </xdr:twoCellAnchor>
  <xdr:twoCellAnchor editAs="oneCell">
    <xdr:from>
      <xdr:col>0</xdr:col>
      <xdr:colOff>172886</xdr:colOff>
      <xdr:row>0</xdr:row>
      <xdr:rowOff>98284</xdr:rowOff>
    </xdr:from>
    <xdr:to>
      <xdr:col>1</xdr:col>
      <xdr:colOff>349915</xdr:colOff>
      <xdr:row>4</xdr:row>
      <xdr:rowOff>136769</xdr:rowOff>
    </xdr:to>
    <xdr:pic>
      <xdr:nvPicPr>
        <xdr:cNvPr id="18" name="Picture 17">
          <a:extLst>
            <a:ext uri="{FF2B5EF4-FFF2-40B4-BE49-F238E27FC236}">
              <a16:creationId xmlns:a16="http://schemas.microsoft.com/office/drawing/2014/main" id="{0905B583-64A0-6495-9935-4AFCE57341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886" y="98284"/>
          <a:ext cx="789234" cy="767921"/>
        </a:xfrm>
        <a:prstGeom prst="rect">
          <a:avLst/>
        </a:prstGeom>
      </xdr:spPr>
    </xdr:pic>
    <xdr:clientData/>
  </xdr:twoCellAnchor>
  <xdr:twoCellAnchor>
    <xdr:from>
      <xdr:col>2</xdr:col>
      <xdr:colOff>504156</xdr:colOff>
      <xdr:row>5</xdr:row>
      <xdr:rowOff>88543</xdr:rowOff>
    </xdr:from>
    <xdr:to>
      <xdr:col>3</xdr:col>
      <xdr:colOff>542642</xdr:colOff>
      <xdr:row>7</xdr:row>
      <xdr:rowOff>65453</xdr:rowOff>
    </xdr:to>
    <xdr:sp macro="" textlink="'pivot report'!A4">
      <xdr:nvSpPr>
        <xdr:cNvPr id="19" name="TextBox 18">
          <a:extLst>
            <a:ext uri="{FF2B5EF4-FFF2-40B4-BE49-F238E27FC236}">
              <a16:creationId xmlns:a16="http://schemas.microsoft.com/office/drawing/2014/main" id="{5FFBC740-CD93-5DC5-D666-D0D0814D05E3}"/>
            </a:ext>
          </a:extLst>
        </xdr:cNvPr>
        <xdr:cNvSpPr txBox="1"/>
      </xdr:nvSpPr>
      <xdr:spPr>
        <a:xfrm>
          <a:off x="1728799" y="1007025"/>
          <a:ext cx="650807" cy="3443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4E40E3-FFE3-457F-9E98-D5F34C174B58}" type="TxLink">
            <a:rPr lang="en-US" sz="2000" b="1" i="0" u="none" strike="noStrike">
              <a:solidFill>
                <a:srgbClr val="000000"/>
              </a:solidFill>
              <a:latin typeface="Calibri"/>
              <a:ea typeface="Calibri"/>
              <a:cs typeface="Calibri"/>
            </a:rPr>
            <a:pPr algn="ctr"/>
            <a:t>480</a:t>
          </a:fld>
          <a:endParaRPr lang="en-IN" sz="2000" b="1"/>
        </a:p>
      </xdr:txBody>
    </xdr:sp>
    <xdr:clientData/>
  </xdr:twoCellAnchor>
  <xdr:twoCellAnchor>
    <xdr:from>
      <xdr:col>2</xdr:col>
      <xdr:colOff>213415</xdr:colOff>
      <xdr:row>7</xdr:row>
      <xdr:rowOff>114088</xdr:rowOff>
    </xdr:from>
    <xdr:to>
      <xdr:col>4</xdr:col>
      <xdr:colOff>267954</xdr:colOff>
      <xdr:row>9</xdr:row>
      <xdr:rowOff>30704</xdr:rowOff>
    </xdr:to>
    <xdr:sp macro="" textlink="">
      <xdr:nvSpPr>
        <xdr:cNvPr id="20" name="TextBox 19">
          <a:extLst>
            <a:ext uri="{FF2B5EF4-FFF2-40B4-BE49-F238E27FC236}">
              <a16:creationId xmlns:a16="http://schemas.microsoft.com/office/drawing/2014/main" id="{7D9BBB80-E490-431D-B845-8BFFA483B26E}"/>
            </a:ext>
          </a:extLst>
        </xdr:cNvPr>
        <xdr:cNvSpPr txBox="1"/>
      </xdr:nvSpPr>
      <xdr:spPr>
        <a:xfrm>
          <a:off x="1437825" y="1390601"/>
          <a:ext cx="1278950" cy="2813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i="0" u="none" strike="noStrike">
              <a:solidFill>
                <a:schemeClr val="dk1"/>
              </a:solidFill>
              <a:effectLst/>
              <a:latin typeface="+mn-lt"/>
              <a:ea typeface="+mn-ea"/>
              <a:cs typeface="+mn-cs"/>
            </a:rPr>
            <a:t>No.</a:t>
          </a:r>
          <a:r>
            <a:rPr lang="en-IN" sz="1400" b="1" i="0" u="none" strike="noStrike" baseline="0">
              <a:solidFill>
                <a:schemeClr val="dk1"/>
              </a:solidFill>
              <a:effectLst/>
              <a:latin typeface="+mn-lt"/>
              <a:ea typeface="+mn-ea"/>
              <a:cs typeface="+mn-cs"/>
            </a:rPr>
            <a:t> of Patients</a:t>
          </a:r>
          <a:r>
            <a:rPr lang="en-IN" sz="1400" b="1"/>
            <a:t> </a:t>
          </a:r>
        </a:p>
      </xdr:txBody>
    </xdr:sp>
    <xdr:clientData/>
  </xdr:twoCellAnchor>
  <xdr:twoCellAnchor>
    <xdr:from>
      <xdr:col>5</xdr:col>
      <xdr:colOff>512145</xdr:colOff>
      <xdr:row>5</xdr:row>
      <xdr:rowOff>127670</xdr:rowOff>
    </xdr:from>
    <xdr:to>
      <xdr:col>7</xdr:col>
      <xdr:colOff>70211</xdr:colOff>
      <xdr:row>7</xdr:row>
      <xdr:rowOff>106441</xdr:rowOff>
    </xdr:to>
    <xdr:sp macro="" textlink="'pivot report'!A9">
      <xdr:nvSpPr>
        <xdr:cNvPr id="21" name="TextBox 20">
          <a:extLst>
            <a:ext uri="{FF2B5EF4-FFF2-40B4-BE49-F238E27FC236}">
              <a16:creationId xmlns:a16="http://schemas.microsoft.com/office/drawing/2014/main" id="{F94339D3-B443-46F7-A04B-279B2F43BAA0}"/>
            </a:ext>
          </a:extLst>
        </xdr:cNvPr>
        <xdr:cNvSpPr txBox="1"/>
      </xdr:nvSpPr>
      <xdr:spPr>
        <a:xfrm>
          <a:off x="3573171" y="1039465"/>
          <a:ext cx="782476" cy="3434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5F757AA-A69E-4FE9-BB19-3FC415265925}" type="TxLink">
            <a:rPr lang="en-US" sz="2000" b="1" i="0" u="none" strike="noStrike">
              <a:solidFill>
                <a:srgbClr val="000000"/>
              </a:solidFill>
              <a:latin typeface="Calibri"/>
              <a:ea typeface="Calibri"/>
              <a:cs typeface="Calibri"/>
            </a:rPr>
            <a:pPr algn="ctr"/>
            <a:t>34.43</a:t>
          </a:fld>
          <a:endParaRPr lang="en-IN" sz="2000" b="1"/>
        </a:p>
      </xdr:txBody>
    </xdr:sp>
    <xdr:clientData/>
  </xdr:twoCellAnchor>
  <xdr:twoCellAnchor>
    <xdr:from>
      <xdr:col>5</xdr:col>
      <xdr:colOff>135502</xdr:colOff>
      <xdr:row>7</xdr:row>
      <xdr:rowOff>47825</xdr:rowOff>
    </xdr:from>
    <xdr:to>
      <xdr:col>7</xdr:col>
      <xdr:colOff>427987</xdr:colOff>
      <xdr:row>9</xdr:row>
      <xdr:rowOff>17678</xdr:rowOff>
    </xdr:to>
    <xdr:sp macro="" textlink="">
      <xdr:nvSpPr>
        <xdr:cNvPr id="22" name="TextBox 21">
          <a:extLst>
            <a:ext uri="{FF2B5EF4-FFF2-40B4-BE49-F238E27FC236}">
              <a16:creationId xmlns:a16="http://schemas.microsoft.com/office/drawing/2014/main" id="{15FA48EE-99C6-44BA-A38C-B430C79E5858}"/>
            </a:ext>
          </a:extLst>
        </xdr:cNvPr>
        <xdr:cNvSpPr txBox="1"/>
      </xdr:nvSpPr>
      <xdr:spPr>
        <a:xfrm>
          <a:off x="3196528" y="1324338"/>
          <a:ext cx="1516895" cy="3345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t> </a:t>
          </a:r>
          <a:r>
            <a:rPr lang="en-IN" sz="1400" b="1"/>
            <a:t>Averag</a:t>
          </a:r>
          <a:r>
            <a:rPr lang="en-IN" sz="1400" b="1" baseline="0"/>
            <a:t>e wait time</a:t>
          </a:r>
          <a:endParaRPr lang="en-IN" sz="1400" b="1"/>
        </a:p>
      </xdr:txBody>
    </xdr:sp>
    <xdr:clientData/>
  </xdr:twoCellAnchor>
  <xdr:twoCellAnchor>
    <xdr:from>
      <xdr:col>8</xdr:col>
      <xdr:colOff>582849</xdr:colOff>
      <xdr:row>5</xdr:row>
      <xdr:rowOff>94900</xdr:rowOff>
    </xdr:from>
    <xdr:to>
      <xdr:col>10</xdr:col>
      <xdr:colOff>13275</xdr:colOff>
      <xdr:row>7</xdr:row>
      <xdr:rowOff>71810</xdr:rowOff>
    </xdr:to>
    <xdr:sp macro="" textlink="'pivot report'!A12">
      <xdr:nvSpPr>
        <xdr:cNvPr id="23" name="TextBox 22">
          <a:extLst>
            <a:ext uri="{FF2B5EF4-FFF2-40B4-BE49-F238E27FC236}">
              <a16:creationId xmlns:a16="http://schemas.microsoft.com/office/drawing/2014/main" id="{FC838FDD-6C49-4DB5-AD1A-487083C9BE9C}"/>
            </a:ext>
          </a:extLst>
        </xdr:cNvPr>
        <xdr:cNvSpPr txBox="1"/>
      </xdr:nvSpPr>
      <xdr:spPr>
        <a:xfrm>
          <a:off x="5480490" y="1006695"/>
          <a:ext cx="654836" cy="341628"/>
        </a:xfrm>
        <a:prstGeom prst="rect">
          <a:avLst/>
        </a:prstGeom>
        <a:solidFill>
          <a:schemeClr val="lt1"/>
        </a:solidFill>
        <a:ln w="9525" cmpd="sng">
          <a:no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DAAD0A-3299-42F2-AB74-CC5B32D5413F}"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5.16</a:t>
          </a:fld>
          <a:endParaRPr lang="en-IN" sz="2000" b="1" cap="none" spc="0">
            <a:ln w="0"/>
            <a:solidFill>
              <a:srgbClr val="000000"/>
            </a:solidFill>
            <a:effectLst>
              <a:outerShdw blurRad="38100" dist="19050" dir="2700000" algn="tl" rotWithShape="0">
                <a:schemeClr val="dk1">
                  <a:alpha val="40000"/>
                </a:schemeClr>
              </a:outerShdw>
            </a:effectLst>
          </a:endParaRPr>
        </a:p>
      </xdr:txBody>
    </xdr:sp>
    <xdr:clientData/>
  </xdr:twoCellAnchor>
  <xdr:twoCellAnchor>
    <xdr:from>
      <xdr:col>8</xdr:col>
      <xdr:colOff>192836</xdr:colOff>
      <xdr:row>7</xdr:row>
      <xdr:rowOff>103510</xdr:rowOff>
    </xdr:from>
    <xdr:to>
      <xdr:col>10</xdr:col>
      <xdr:colOff>508413</xdr:colOff>
      <xdr:row>8</xdr:row>
      <xdr:rowOff>170921</xdr:rowOff>
    </xdr:to>
    <xdr:sp macro="" textlink="">
      <xdr:nvSpPr>
        <xdr:cNvPr id="24" name="TextBox 23">
          <a:extLst>
            <a:ext uri="{FF2B5EF4-FFF2-40B4-BE49-F238E27FC236}">
              <a16:creationId xmlns:a16="http://schemas.microsoft.com/office/drawing/2014/main" id="{87C7A2BC-9809-43BE-B9A2-66B2CD6D94F8}"/>
            </a:ext>
          </a:extLst>
        </xdr:cNvPr>
        <xdr:cNvSpPr txBox="1"/>
      </xdr:nvSpPr>
      <xdr:spPr>
        <a:xfrm>
          <a:off x="5091407" y="1389385"/>
          <a:ext cx="1540220" cy="25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 </a:t>
          </a:r>
          <a:r>
            <a:rPr lang="en-IN" sz="1600" b="1" baseline="0">
              <a:solidFill>
                <a:schemeClr val="dk1"/>
              </a:solidFill>
              <a:effectLst/>
              <a:latin typeface="+mn-lt"/>
              <a:ea typeface="+mn-ea"/>
              <a:cs typeface="+mn-cs"/>
            </a:rPr>
            <a:t>Satisfaction</a:t>
          </a:r>
          <a:r>
            <a:rPr lang="en-IN" sz="1400" b="1" baseline="0">
              <a:solidFill>
                <a:schemeClr val="dk1"/>
              </a:solidFill>
              <a:effectLst/>
              <a:latin typeface="+mn-lt"/>
              <a:ea typeface="+mn-ea"/>
              <a:cs typeface="+mn-cs"/>
            </a:rPr>
            <a:t> </a:t>
          </a:r>
          <a:r>
            <a:rPr lang="en-IN" sz="1400" b="1" baseline="0">
              <a:ln>
                <a:noFill/>
              </a:ln>
              <a:solidFill>
                <a:schemeClr val="dk1"/>
              </a:solidFill>
              <a:effectLst/>
              <a:latin typeface="+mn-lt"/>
              <a:ea typeface="+mn-ea"/>
              <a:cs typeface="+mn-cs"/>
            </a:rPr>
            <a:t>Score</a:t>
          </a:r>
          <a:endParaRPr lang="en-IN" sz="1400" b="1">
            <a:ln>
              <a:noFill/>
            </a:ln>
            <a:solidFill>
              <a:schemeClr val="dk1"/>
            </a:solidFill>
          </a:endParaRPr>
        </a:p>
        <a:p>
          <a:r>
            <a:rPr lang="en-IN" sz="1400" b="1" baseline="0"/>
            <a:t> </a:t>
          </a:r>
          <a:endParaRPr lang="en-IN" sz="1400" b="1"/>
        </a:p>
      </xdr:txBody>
    </xdr:sp>
    <xdr:clientData/>
  </xdr:twoCellAnchor>
  <xdr:twoCellAnchor editAs="oneCell">
    <xdr:from>
      <xdr:col>4</xdr:col>
      <xdr:colOff>106573</xdr:colOff>
      <xdr:row>4</xdr:row>
      <xdr:rowOff>178806</xdr:rowOff>
    </xdr:from>
    <xdr:to>
      <xdr:col>4</xdr:col>
      <xdr:colOff>506441</xdr:colOff>
      <xdr:row>7</xdr:row>
      <xdr:rowOff>26981</xdr:rowOff>
    </xdr:to>
    <xdr:pic>
      <xdr:nvPicPr>
        <xdr:cNvPr id="28" name="Graphic 27" descr="Users with solid fill">
          <a:extLst>
            <a:ext uri="{FF2B5EF4-FFF2-40B4-BE49-F238E27FC236}">
              <a16:creationId xmlns:a16="http://schemas.microsoft.com/office/drawing/2014/main" id="{77E75257-F013-785C-A94D-865962630DF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55394" y="908242"/>
          <a:ext cx="399868" cy="395252"/>
        </a:xfrm>
        <a:prstGeom prst="rect">
          <a:avLst/>
        </a:prstGeom>
      </xdr:spPr>
    </xdr:pic>
    <xdr:clientData/>
  </xdr:twoCellAnchor>
  <xdr:twoCellAnchor editAs="oneCell">
    <xdr:from>
      <xdr:col>10</xdr:col>
      <xdr:colOff>374868</xdr:colOff>
      <xdr:row>5</xdr:row>
      <xdr:rowOff>29098</xdr:rowOff>
    </xdr:from>
    <xdr:to>
      <xdr:col>11</xdr:col>
      <xdr:colOff>101414</xdr:colOff>
      <xdr:row>6</xdr:row>
      <xdr:rowOff>156244</xdr:rowOff>
    </xdr:to>
    <xdr:pic>
      <xdr:nvPicPr>
        <xdr:cNvPr id="30" name="Graphic 29" descr="Thumbs up sign with solid fill">
          <a:extLst>
            <a:ext uri="{FF2B5EF4-FFF2-40B4-BE49-F238E27FC236}">
              <a16:creationId xmlns:a16="http://schemas.microsoft.com/office/drawing/2014/main" id="{A710293F-41D5-E864-0087-84494070BD2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496919" y="940893"/>
          <a:ext cx="338751" cy="309505"/>
        </a:xfrm>
        <a:prstGeom prst="rect">
          <a:avLst/>
        </a:prstGeom>
      </xdr:spPr>
    </xdr:pic>
    <xdr:clientData/>
  </xdr:twoCellAnchor>
  <xdr:twoCellAnchor editAs="oneCell">
    <xdr:from>
      <xdr:col>7</xdr:col>
      <xdr:colOff>280223</xdr:colOff>
      <xdr:row>5</xdr:row>
      <xdr:rowOff>70207</xdr:rowOff>
    </xdr:from>
    <xdr:to>
      <xdr:col>8</xdr:col>
      <xdr:colOff>34426</xdr:colOff>
      <xdr:row>6</xdr:row>
      <xdr:rowOff>175823</xdr:rowOff>
    </xdr:to>
    <xdr:pic>
      <xdr:nvPicPr>
        <xdr:cNvPr id="32" name="Graphic 31" descr="Hourglass Finished with solid fill">
          <a:extLst>
            <a:ext uri="{FF2B5EF4-FFF2-40B4-BE49-F238E27FC236}">
              <a16:creationId xmlns:a16="http://schemas.microsoft.com/office/drawing/2014/main" id="{F69BA66A-4BD1-52D1-03FE-7D42B62FC5E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65659" y="982002"/>
          <a:ext cx="366408" cy="287975"/>
        </a:xfrm>
        <a:prstGeom prst="rect">
          <a:avLst/>
        </a:prstGeom>
      </xdr:spPr>
    </xdr:pic>
    <xdr:clientData/>
  </xdr:twoCellAnchor>
  <xdr:twoCellAnchor editAs="oneCell">
    <xdr:from>
      <xdr:col>0</xdr:col>
      <xdr:colOff>121344</xdr:colOff>
      <xdr:row>5</xdr:row>
      <xdr:rowOff>92158</xdr:rowOff>
    </xdr:from>
    <xdr:to>
      <xdr:col>1</xdr:col>
      <xdr:colOff>469900</xdr:colOff>
      <xdr:row>24</xdr:row>
      <xdr:rowOff>114300</xdr:rowOff>
    </xdr:to>
    <mc:AlternateContent xmlns:mc="http://schemas.openxmlformats.org/markup-compatibility/2006" xmlns:a14="http://schemas.microsoft.com/office/drawing/2010/main">
      <mc:Choice Requires="a14">
        <xdr:graphicFrame macro="">
          <xdr:nvGraphicFramePr>
            <xdr:cNvPr id="13" name="Date (Month)">
              <a:extLst>
                <a:ext uri="{FF2B5EF4-FFF2-40B4-BE49-F238E27FC236}">
                  <a16:creationId xmlns:a16="http://schemas.microsoft.com/office/drawing/2014/main" id="{8F22F15F-3471-4EA8-9A7E-D7B3216E97F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1344" y="1006558"/>
              <a:ext cx="958156" cy="3496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358207</xdr:colOff>
      <xdr:row>8</xdr:row>
      <xdr:rowOff>19538</xdr:rowOff>
    </xdr:from>
    <xdr:to>
      <xdr:col>4</xdr:col>
      <xdr:colOff>534053</xdr:colOff>
      <xdr:row>12</xdr:row>
      <xdr:rowOff>58615</xdr:rowOff>
    </xdr:to>
    <xdr:graphicFrame macro="">
      <xdr:nvGraphicFramePr>
        <xdr:cNvPr id="15" name="Chart 14">
          <a:hlinkClick xmlns:r="http://schemas.openxmlformats.org/officeDocument/2006/relationships" r:id="rId8"/>
          <a:extLst>
            <a:ext uri="{FF2B5EF4-FFF2-40B4-BE49-F238E27FC236}">
              <a16:creationId xmlns:a16="http://schemas.microsoft.com/office/drawing/2014/main" id="{BC8316AB-CC2F-4385-BCEC-3BF016404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519818</xdr:colOff>
      <xdr:row>8</xdr:row>
      <xdr:rowOff>36997</xdr:rowOff>
    </xdr:from>
    <xdr:to>
      <xdr:col>8</xdr:col>
      <xdr:colOff>40622</xdr:colOff>
      <xdr:row>12</xdr:row>
      <xdr:rowOff>132943</xdr:rowOff>
    </xdr:to>
    <xdr:graphicFrame macro="">
      <xdr:nvGraphicFramePr>
        <xdr:cNvPr id="16" name="Chart 15">
          <a:hlinkClick xmlns:r="http://schemas.openxmlformats.org/officeDocument/2006/relationships" r:id="rId8"/>
          <a:extLst>
            <a:ext uri="{FF2B5EF4-FFF2-40B4-BE49-F238E27FC236}">
              <a16:creationId xmlns:a16="http://schemas.microsoft.com/office/drawing/2014/main" id="{C5A8547F-99F5-4A31-81E5-16946C50A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6512</xdr:colOff>
      <xdr:row>8</xdr:row>
      <xdr:rowOff>25111</xdr:rowOff>
    </xdr:from>
    <xdr:to>
      <xdr:col>11</xdr:col>
      <xdr:colOff>136232</xdr:colOff>
      <xdr:row>10</xdr:row>
      <xdr:rowOff>123743</xdr:rowOff>
    </xdr:to>
    <xdr:graphicFrame macro="">
      <xdr:nvGraphicFramePr>
        <xdr:cNvPr id="25" name="Chart 24">
          <a:hlinkClick xmlns:r="http://schemas.openxmlformats.org/officeDocument/2006/relationships" r:id="rId8"/>
          <a:extLst>
            <a:ext uri="{FF2B5EF4-FFF2-40B4-BE49-F238E27FC236}">
              <a16:creationId xmlns:a16="http://schemas.microsoft.com/office/drawing/2014/main" id="{46F334D1-960A-4F9F-8675-57F2DBDF0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509476</xdr:colOff>
          <xdr:row>10</xdr:row>
          <xdr:rowOff>134538</xdr:rowOff>
        </xdr:from>
        <xdr:to>
          <xdr:col>11</xdr:col>
          <xdr:colOff>100981</xdr:colOff>
          <xdr:row>15</xdr:row>
          <xdr:rowOff>15027</xdr:rowOff>
        </xdr:to>
        <xdr:pic>
          <xdr:nvPicPr>
            <xdr:cNvPr id="35" name="Picture 34">
              <a:extLst>
                <a:ext uri="{FF2B5EF4-FFF2-40B4-BE49-F238E27FC236}">
                  <a16:creationId xmlns:a16="http://schemas.microsoft.com/office/drawing/2014/main" id="{B019A6F0-51FE-E6B8-2B67-4986D11F7739}"/>
                </a:ext>
              </a:extLst>
            </xdr:cNvPr>
            <xdr:cNvPicPr>
              <a:picLocks noChangeAspect="1" noChangeArrowheads="1"/>
              <a:extLst>
                <a:ext uri="{84589F7E-364E-4C9E-8A38-B11213B215E9}">
                  <a14:cameraTool cellRange="'pivot report'!$A$46:$D$48" spid="_x0000_s1195"/>
                </a:ext>
              </a:extLst>
            </xdr:cNvPicPr>
          </xdr:nvPicPr>
          <xdr:blipFill>
            <a:blip xmlns:r="http://schemas.openxmlformats.org/officeDocument/2006/relationships" r:embed="rId12"/>
            <a:srcRect/>
            <a:stretch>
              <a:fillRect/>
            </a:stretch>
          </xdr:blipFill>
          <xdr:spPr bwMode="auto">
            <a:xfrm>
              <a:off x="1120390" y="1973848"/>
              <a:ext cx="5700643" cy="80014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447842</xdr:colOff>
      <xdr:row>15</xdr:row>
      <xdr:rowOff>148617</xdr:rowOff>
    </xdr:from>
    <xdr:to>
      <xdr:col>11</xdr:col>
      <xdr:colOff>187158</xdr:colOff>
      <xdr:row>23</xdr:row>
      <xdr:rowOff>90551</xdr:rowOff>
    </xdr:to>
    <xdr:graphicFrame macro="">
      <xdr:nvGraphicFramePr>
        <xdr:cNvPr id="36" name="Chart 35">
          <a:extLst>
            <a:ext uri="{FF2B5EF4-FFF2-40B4-BE49-F238E27FC236}">
              <a16:creationId xmlns:a16="http://schemas.microsoft.com/office/drawing/2014/main" id="{D327FCA4-BAC1-447C-9AEF-60609A2A1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534866</xdr:colOff>
      <xdr:row>23</xdr:row>
      <xdr:rowOff>61302</xdr:rowOff>
    </xdr:from>
    <xdr:to>
      <xdr:col>7</xdr:col>
      <xdr:colOff>530679</xdr:colOff>
      <xdr:row>25</xdr:row>
      <xdr:rowOff>61302</xdr:rowOff>
    </xdr:to>
    <xdr:sp macro="" textlink="">
      <xdr:nvSpPr>
        <xdr:cNvPr id="17" name="TextBox 16">
          <a:extLst>
            <a:ext uri="{FF2B5EF4-FFF2-40B4-BE49-F238E27FC236}">
              <a16:creationId xmlns:a16="http://schemas.microsoft.com/office/drawing/2014/main" id="{E1D503BC-5408-8AD9-A911-497DB71C4613}"/>
            </a:ext>
          </a:extLst>
        </xdr:cNvPr>
        <xdr:cNvSpPr txBox="1"/>
      </xdr:nvSpPr>
      <xdr:spPr>
        <a:xfrm>
          <a:off x="2984152" y="4286320"/>
          <a:ext cx="1832777"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No. of Patient By</a:t>
          </a:r>
          <a:r>
            <a:rPr lang="en-IN" sz="1050" b="1" baseline="0"/>
            <a:t> Age Group</a:t>
          </a:r>
          <a:endParaRPr lang="en-IN" sz="1050" b="1"/>
        </a:p>
      </xdr:txBody>
    </xdr:sp>
    <xdr:clientData/>
  </xdr:twoCellAnchor>
  <xdr:twoCellAnchor>
    <xdr:from>
      <xdr:col>11</xdr:col>
      <xdr:colOff>269579</xdr:colOff>
      <xdr:row>1</xdr:row>
      <xdr:rowOff>0</xdr:rowOff>
    </xdr:from>
    <xdr:to>
      <xdr:col>14</xdr:col>
      <xdr:colOff>45591</xdr:colOff>
      <xdr:row>9</xdr:row>
      <xdr:rowOff>118884</xdr:rowOff>
    </xdr:to>
    <xdr:graphicFrame macro="">
      <xdr:nvGraphicFramePr>
        <xdr:cNvPr id="10" name="Chart 9">
          <a:extLst>
            <a:ext uri="{FF2B5EF4-FFF2-40B4-BE49-F238E27FC236}">
              <a16:creationId xmlns:a16="http://schemas.microsoft.com/office/drawing/2014/main" id="{61B8638D-371C-433F-ADD8-A5C56326D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276002</xdr:colOff>
      <xdr:row>9</xdr:row>
      <xdr:rowOff>47625</xdr:rowOff>
    </xdr:from>
    <xdr:to>
      <xdr:col>14</xdr:col>
      <xdr:colOff>48187</xdr:colOff>
      <xdr:row>10</xdr:row>
      <xdr:rowOff>149749</xdr:rowOff>
    </xdr:to>
    <xdr:sp macro="" textlink="">
      <xdr:nvSpPr>
        <xdr:cNvPr id="26" name="TextBox 25">
          <a:extLst>
            <a:ext uri="{FF2B5EF4-FFF2-40B4-BE49-F238E27FC236}">
              <a16:creationId xmlns:a16="http://schemas.microsoft.com/office/drawing/2014/main" id="{50DCA7D6-98E1-D208-17ED-052E73A41B14}"/>
            </a:ext>
          </a:extLst>
        </xdr:cNvPr>
        <xdr:cNvSpPr txBox="1"/>
      </xdr:nvSpPr>
      <xdr:spPr>
        <a:xfrm>
          <a:off x="7011538" y="1700893"/>
          <a:ext cx="1609149" cy="285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Patient Attended Status</a:t>
          </a:r>
        </a:p>
      </xdr:txBody>
    </xdr:sp>
    <xdr:clientData/>
  </xdr:twoCellAnchor>
  <xdr:twoCellAnchor>
    <xdr:from>
      <xdr:col>14</xdr:col>
      <xdr:colOff>212103</xdr:colOff>
      <xdr:row>0</xdr:row>
      <xdr:rowOff>125690</xdr:rowOff>
    </xdr:from>
    <xdr:to>
      <xdr:col>17</xdr:col>
      <xdr:colOff>78556</xdr:colOff>
      <xdr:row>9</xdr:row>
      <xdr:rowOff>86411</xdr:rowOff>
    </xdr:to>
    <xdr:graphicFrame macro="">
      <xdr:nvGraphicFramePr>
        <xdr:cNvPr id="27" name="Chart 26">
          <a:extLst>
            <a:ext uri="{FF2B5EF4-FFF2-40B4-BE49-F238E27FC236}">
              <a16:creationId xmlns:a16="http://schemas.microsoft.com/office/drawing/2014/main" id="{0119248D-4BCF-40EE-8DB2-EA72989C3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346213</xdr:colOff>
      <xdr:row>9</xdr:row>
      <xdr:rowOff>54429</xdr:rowOff>
    </xdr:from>
    <xdr:to>
      <xdr:col>16</xdr:col>
      <xdr:colOff>597173</xdr:colOff>
      <xdr:row>11</xdr:row>
      <xdr:rowOff>19990</xdr:rowOff>
    </xdr:to>
    <xdr:sp macro="" textlink="">
      <xdr:nvSpPr>
        <xdr:cNvPr id="29" name="TextBox 28">
          <a:extLst>
            <a:ext uri="{FF2B5EF4-FFF2-40B4-BE49-F238E27FC236}">
              <a16:creationId xmlns:a16="http://schemas.microsoft.com/office/drawing/2014/main" id="{24BD9674-39C2-6BF1-7122-D529E5E7BA32}"/>
            </a:ext>
          </a:extLst>
        </xdr:cNvPr>
        <xdr:cNvSpPr txBox="1"/>
      </xdr:nvSpPr>
      <xdr:spPr>
        <a:xfrm>
          <a:off x="8918713" y="1707697"/>
          <a:ext cx="1475603" cy="33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Gender Wise</a:t>
          </a:r>
          <a:r>
            <a:rPr lang="en-IN" sz="1050" b="1" baseline="0"/>
            <a:t> Analysis</a:t>
          </a:r>
          <a:endParaRPr lang="en-IN" sz="1050" b="1"/>
        </a:p>
      </xdr:txBody>
    </xdr:sp>
    <xdr:clientData/>
  </xdr:twoCellAnchor>
  <xdr:twoCellAnchor>
    <xdr:from>
      <xdr:col>11</xdr:col>
      <xdr:colOff>208305</xdr:colOff>
      <xdr:row>11</xdr:row>
      <xdr:rowOff>26052</xdr:rowOff>
    </xdr:from>
    <xdr:to>
      <xdr:col>16</xdr:col>
      <xdr:colOff>589305</xdr:colOff>
      <xdr:row>24</xdr:row>
      <xdr:rowOff>117232</xdr:rowOff>
    </xdr:to>
    <xdr:graphicFrame macro="">
      <xdr:nvGraphicFramePr>
        <xdr:cNvPr id="31" name="Chart 30">
          <a:extLst>
            <a:ext uri="{FF2B5EF4-FFF2-40B4-BE49-F238E27FC236}">
              <a16:creationId xmlns:a16="http://schemas.microsoft.com/office/drawing/2014/main" id="{68BF5818-A90F-4701-A904-1962F0659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589270</xdr:colOff>
      <xdr:row>23</xdr:row>
      <xdr:rowOff>92120</xdr:rowOff>
    </xdr:from>
    <xdr:to>
      <xdr:col>16</xdr:col>
      <xdr:colOff>18396</xdr:colOff>
      <xdr:row>25</xdr:row>
      <xdr:rowOff>13563</xdr:rowOff>
    </xdr:to>
    <xdr:sp macro="" textlink="">
      <xdr:nvSpPr>
        <xdr:cNvPr id="33" name="TextBox 32">
          <a:extLst>
            <a:ext uri="{FF2B5EF4-FFF2-40B4-BE49-F238E27FC236}">
              <a16:creationId xmlns:a16="http://schemas.microsoft.com/office/drawing/2014/main" id="{15819E61-F5CC-4237-8D5C-DD513ECB3741}"/>
            </a:ext>
          </a:extLst>
        </xdr:cNvPr>
        <xdr:cNvSpPr txBox="1"/>
      </xdr:nvSpPr>
      <xdr:spPr>
        <a:xfrm>
          <a:off x="7323526" y="4286376"/>
          <a:ext cx="2490152" cy="28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No.</a:t>
          </a:r>
          <a:r>
            <a:rPr lang="en-IN" sz="1050" b="1" baseline="0"/>
            <a:t> of Patient By Department Referral</a:t>
          </a:r>
          <a:endParaRPr lang="en-IN" sz="1050" b="1"/>
        </a:p>
      </xdr:txBody>
    </xdr:sp>
    <xdr:clientData/>
  </xdr:twoCellAnchor>
  <xdr:twoCellAnchor editAs="oneCell">
    <xdr:from>
      <xdr:col>8</xdr:col>
      <xdr:colOff>340778</xdr:colOff>
      <xdr:row>1</xdr:row>
      <xdr:rowOff>75870</xdr:rowOff>
    </xdr:from>
    <xdr:to>
      <xdr:col>11</xdr:col>
      <xdr:colOff>2518</xdr:colOff>
      <xdr:row>3</xdr:row>
      <xdr:rowOff>146509</xdr:rowOff>
    </xdr:to>
    <mc:AlternateContent xmlns:mc="http://schemas.openxmlformats.org/markup-compatibility/2006" xmlns:a14="http://schemas.microsoft.com/office/drawing/2010/main">
      <mc:Choice Requires="a14">
        <xdr:graphicFrame macro="">
          <xdr:nvGraphicFramePr>
            <xdr:cNvPr id="34" name="Date (Year)">
              <a:extLst>
                <a:ext uri="{FF2B5EF4-FFF2-40B4-BE49-F238E27FC236}">
                  <a16:creationId xmlns:a16="http://schemas.microsoft.com/office/drawing/2014/main" id="{15B46059-8D65-4DA6-B64E-EEDF8475996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238419" y="258229"/>
              <a:ext cx="1494413" cy="435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83819</xdr:colOff>
      <xdr:row>3</xdr:row>
      <xdr:rowOff>15240</xdr:rowOff>
    </xdr:from>
    <xdr:to>
      <xdr:col>16</xdr:col>
      <xdr:colOff>108856</xdr:colOff>
      <xdr:row>17</xdr:row>
      <xdr:rowOff>22860</xdr:rowOff>
    </xdr:to>
    <xdr:graphicFrame macro="">
      <xdr:nvGraphicFramePr>
        <xdr:cNvPr id="2" name="Chart 1">
          <a:extLst>
            <a:ext uri="{FF2B5EF4-FFF2-40B4-BE49-F238E27FC236}">
              <a16:creationId xmlns:a16="http://schemas.microsoft.com/office/drawing/2014/main" id="{EBC27472-7914-4F0F-9868-0C1733BB6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0</xdr:row>
      <xdr:rowOff>0</xdr:rowOff>
    </xdr:from>
    <xdr:to>
      <xdr:col>1</xdr:col>
      <xdr:colOff>30480</xdr:colOff>
      <xdr:row>3</xdr:row>
      <xdr:rowOff>15240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0903E98-35C1-FB4E-72D7-CC2F060705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0" y="0"/>
          <a:ext cx="563880" cy="563880"/>
        </a:xfrm>
        <a:prstGeom prst="rect">
          <a:avLst/>
        </a:prstGeom>
      </xdr:spPr>
    </xdr:pic>
    <xdr:clientData/>
  </xdr:twoCellAnchor>
  <xdr:twoCellAnchor>
    <xdr:from>
      <xdr:col>0</xdr:col>
      <xdr:colOff>104381</xdr:colOff>
      <xdr:row>17</xdr:row>
      <xdr:rowOff>103026</xdr:rowOff>
    </xdr:from>
    <xdr:to>
      <xdr:col>16</xdr:col>
      <xdr:colOff>138545</xdr:colOff>
      <xdr:row>32</xdr:row>
      <xdr:rowOff>72547</xdr:rowOff>
    </xdr:to>
    <xdr:graphicFrame macro="">
      <xdr:nvGraphicFramePr>
        <xdr:cNvPr id="3" name="Chart 2">
          <a:extLst>
            <a:ext uri="{FF2B5EF4-FFF2-40B4-BE49-F238E27FC236}">
              <a16:creationId xmlns:a16="http://schemas.microsoft.com/office/drawing/2014/main" id="{D7B5A83C-2AD2-4AC9-A714-05FDF6B29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114812</xdr:colOff>
      <xdr:row>33</xdr:row>
      <xdr:rowOff>31316</xdr:rowOff>
    </xdr:from>
    <xdr:to>
      <xdr:col>16</xdr:col>
      <xdr:colOff>168234</xdr:colOff>
      <xdr:row>47</xdr:row>
      <xdr:rowOff>144051</xdr:rowOff>
    </xdr:to>
    <xdr:graphicFrame macro="">
      <xdr:nvGraphicFramePr>
        <xdr:cNvPr id="5" name="Chart 4">
          <a:extLst>
            <a:ext uri="{FF2B5EF4-FFF2-40B4-BE49-F238E27FC236}">
              <a16:creationId xmlns:a16="http://schemas.microsoft.com/office/drawing/2014/main" id="{86CE9018-8C31-473F-A0E5-156EDC4BA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93945</xdr:colOff>
      <xdr:row>3</xdr:row>
      <xdr:rowOff>52191</xdr:rowOff>
    </xdr:from>
    <xdr:to>
      <xdr:col>8</xdr:col>
      <xdr:colOff>845507</xdr:colOff>
      <xdr:row>5</xdr:row>
      <xdr:rowOff>62629</xdr:rowOff>
    </xdr:to>
    <xdr:sp macro="" textlink="">
      <xdr:nvSpPr>
        <xdr:cNvPr id="6" name="TextBox 5">
          <a:extLst>
            <a:ext uri="{FF2B5EF4-FFF2-40B4-BE49-F238E27FC236}">
              <a16:creationId xmlns:a16="http://schemas.microsoft.com/office/drawing/2014/main" id="{C008D7BF-5C77-03B4-D3A1-C35D5343FC4C}"/>
            </a:ext>
          </a:extLst>
        </xdr:cNvPr>
        <xdr:cNvSpPr txBox="1"/>
      </xdr:nvSpPr>
      <xdr:spPr>
        <a:xfrm>
          <a:off x="93945" y="615862"/>
          <a:ext cx="5594959" cy="38621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Daily Trends of No.of Patients visiting Emergency Room</a:t>
          </a:r>
        </a:p>
      </xdr:txBody>
    </xdr:sp>
    <xdr:clientData/>
  </xdr:twoCellAnchor>
  <xdr:twoCellAnchor>
    <xdr:from>
      <xdr:col>0</xdr:col>
      <xdr:colOff>147764</xdr:colOff>
      <xdr:row>17</xdr:row>
      <xdr:rowOff>101100</xdr:rowOff>
    </xdr:from>
    <xdr:to>
      <xdr:col>4</xdr:col>
      <xdr:colOff>565298</xdr:colOff>
      <xdr:row>19</xdr:row>
      <xdr:rowOff>98282</xdr:rowOff>
    </xdr:to>
    <xdr:sp macro="" textlink="">
      <xdr:nvSpPr>
        <xdr:cNvPr id="7" name="TextBox 6">
          <a:extLst>
            <a:ext uri="{FF2B5EF4-FFF2-40B4-BE49-F238E27FC236}">
              <a16:creationId xmlns:a16="http://schemas.microsoft.com/office/drawing/2014/main" id="{6C746CF7-B7BA-9321-FF0A-A1F51C62AAB0}"/>
            </a:ext>
          </a:extLst>
        </xdr:cNvPr>
        <xdr:cNvSpPr txBox="1"/>
      </xdr:nvSpPr>
      <xdr:spPr>
        <a:xfrm>
          <a:off x="147764" y="3129308"/>
          <a:ext cx="2871768" cy="35344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Patient</a:t>
          </a:r>
          <a:r>
            <a:rPr lang="en-IN" sz="1600" b="1" baseline="0">
              <a:solidFill>
                <a:schemeClr val="bg1"/>
              </a:solidFill>
            </a:rPr>
            <a:t> Average Wait Time </a:t>
          </a:r>
          <a:endParaRPr lang="en-IN" sz="1600" b="1">
            <a:solidFill>
              <a:schemeClr val="bg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0.0005</cdr:x>
      <cdr:y>0.01093</cdr:y>
    </cdr:from>
    <cdr:to>
      <cdr:x>0.50929</cdr:x>
      <cdr:y>0.14411</cdr:y>
    </cdr:to>
    <cdr:sp macro="" textlink="">
      <cdr:nvSpPr>
        <cdr:cNvPr id="2" name="TextBox 6">
          <a:extLst xmlns:a="http://schemas.openxmlformats.org/drawingml/2006/main">
            <a:ext uri="{FF2B5EF4-FFF2-40B4-BE49-F238E27FC236}">
              <a16:creationId xmlns:a16="http://schemas.microsoft.com/office/drawing/2014/main" id="{6C746CF7-B7BA-9321-FF0A-A1F51C62AAB0}"/>
            </a:ext>
          </a:extLst>
        </cdr:cNvPr>
        <cdr:cNvSpPr txBox="1"/>
      </cdr:nvSpPr>
      <cdr:spPr>
        <a:xfrm xmlns:a="http://schemas.openxmlformats.org/drawingml/2006/main">
          <a:off x="5317" y="28480"/>
          <a:ext cx="5444883" cy="347141"/>
        </a:xfrm>
        <a:prstGeom xmlns:a="http://schemas.openxmlformats.org/drawingml/2006/main" prst="rect">
          <a:avLst/>
        </a:prstGeom>
        <a:solidFill xmlns:a="http://schemas.openxmlformats.org/drawingml/2006/main">
          <a:schemeClr val="accen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600" b="1">
              <a:solidFill>
                <a:schemeClr val="bg1"/>
              </a:solidFill>
            </a:rPr>
            <a:t>Patient</a:t>
          </a:r>
          <a:r>
            <a:rPr lang="en-IN" sz="1600" b="1" baseline="0">
              <a:solidFill>
                <a:schemeClr val="bg1"/>
              </a:solidFill>
            </a:rPr>
            <a:t> Average Satisfaction Score </a:t>
          </a:r>
          <a:endParaRPr lang="en-IN" sz="1600" b="1">
            <a:solidFill>
              <a:schemeClr val="bg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30480</xdr:colOff>
      <xdr:row>45</xdr:row>
      <xdr:rowOff>152400</xdr:rowOff>
    </xdr:from>
    <xdr:to>
      <xdr:col>3</xdr:col>
      <xdr:colOff>1348740</xdr:colOff>
      <xdr:row>47</xdr:row>
      <xdr:rowOff>175260</xdr:rowOff>
    </xdr:to>
    <xdr:graphicFrame macro="">
      <xdr:nvGraphicFramePr>
        <xdr:cNvPr id="2" name="Chart 1">
          <a:extLst>
            <a:ext uri="{FF2B5EF4-FFF2-40B4-BE49-F238E27FC236}">
              <a16:creationId xmlns:a16="http://schemas.microsoft.com/office/drawing/2014/main" id="{04120B13-961E-A1C5-7129-81C49AB5C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69675924" backgroundQuery="1" createdVersion="8" refreshedVersion="8" minRefreshableVersion="3" recordCount="0" supportSubquery="1" supportAdvancedDrill="1" xr:uid="{E8EA5A9B-DF03-45C4-BB33-E2F51D3E3079}">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6979167" backgroundQuery="1" createdVersion="8" refreshedVersion="8" minRefreshableVersion="3" recordCount="0" supportSubquery="1" supportAdvancedDrill="1" xr:uid="{4B2D2BCB-BD3A-4E6D-9FE6-A678E16BA06A}">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70138886" backgroundQuery="1" createdVersion="8" refreshedVersion="8" minRefreshableVersion="3" recordCount="0" supportSubquery="1" supportAdvancedDrill="1" xr:uid="{466AE14E-B5CC-4D9C-AB1C-BEDF4AA6031D}">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70717594" backgroundQuery="1" createdVersion="8" refreshedVersion="8" minRefreshableVersion="3" recordCount="0" supportSubquery="1" supportAdvancedDrill="1" xr:uid="{7990FF4D-0AFB-4E3F-BC1E-3EB2BC9D6F17}">
  <cacheSource type="external" connectionId="3"/>
  <cacheFields count="5">
    <cacheField name="[Measures].[Distinct Count of Patient Id]" caption="Distinct Count of Patient Id" numFmtId="0" hierarchy="24" level="32767"/>
    <cacheField name="[Calender_table].[Date].[Date]" caption="Date"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_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29-Jan" u="1"/>
      </sharedItems>
    </cacheField>
    <cacheField name="[Calender_table].[Date (Month)].[Date (Month)]" caption="Date (Month)" numFmtId="0" hierarchy="1" level="1">
      <sharedItems count="2">
        <s v="May"/>
        <s v="Jan" u="1"/>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7141204" backgroundQuery="1" createdVersion="8" refreshedVersion="8" minRefreshableVersion="3" recordCount="0" supportSubquery="1" supportAdvancedDrill="1" xr:uid="{D394B432-C5A1-499E-A2A9-3E757160410E}">
  <cacheSource type="external" connectionId="3"/>
  <cacheFields count="5">
    <cacheField name="[Calender_table].[Date].[Date]" caption="Date"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_table].[Date (Day)].[Date (Day)]" caption="Date (Day)" numFmtId="0" hierarchy="2" level="1">
      <sharedItems count="366">
        <s v="1-May"/>
        <s v="2-May"/>
        <s v="3-May"/>
        <s v="4-May"/>
        <s v="5-May"/>
        <s v="6-May"/>
        <s v="7-May"/>
        <s v="8-May"/>
        <s v="9-May"/>
        <s v="10-May"/>
        <s v="11-May"/>
        <s v="12-May"/>
        <s v="13-May"/>
        <s v="14-May"/>
        <s v="15-May"/>
        <s v="16-May"/>
        <s v="17-May"/>
        <s v="18-May"/>
        <s v="19-May"/>
        <s v="20-May"/>
        <s v="21-May"/>
        <s v="22-May"/>
        <s v="23-May"/>
        <s v="24-May"/>
        <s v="25-May"/>
        <s v="26-May"/>
        <s v="27-May"/>
        <s v="28-May"/>
        <s v="29-May"/>
        <s v="30-May"/>
        <s v="31-May"/>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haredItems>
    </cacheField>
    <cacheField name="[Calender_table].[Date (Month)].[Date (Month)]" caption="Date (Month)" numFmtId="0" hierarchy="1" level="1">
      <sharedItems count="10">
        <s v="May"/>
        <s v="Sep" u="1"/>
        <s v="Aug" u="1"/>
        <s v="Jul" u="1"/>
        <s v="Apr" u="1"/>
        <s v="Jun" u="1"/>
        <s v="Mar" u="1"/>
        <s v="Oct" u="1"/>
        <s v="Nov" u="1"/>
        <s v="Dec" u="1"/>
      </sharedItems>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7210648" backgroundQuery="1" createdVersion="8" refreshedVersion="8" minRefreshableVersion="3" recordCount="0" supportSubquery="1" supportAdvancedDrill="1" xr:uid="{0589E9D3-6031-4A7E-88E5-04A62168D610}">
  <cacheSource type="external" connectionId="3"/>
  <cacheFields count="5">
    <cacheField name="[Calender_table].[Date].[Date]" caption="Date" numFmtId="0"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Day)].[Date (Day)]" caption="Date (Day)" numFmtId="0" hierarchy="2" level="1">
      <sharedItems count="366">
        <s v="1-May"/>
        <s v="2-May"/>
        <s v="3-May"/>
        <s v="4-May"/>
        <s v="5-May"/>
        <s v="6-May"/>
        <s v="7-May"/>
        <s v="8-May"/>
        <s v="9-May"/>
        <s v="10-May"/>
        <s v="11-May"/>
        <s v="12-May"/>
        <s v="13-May"/>
        <s v="14-May"/>
        <s v="16-May"/>
        <s v="17-May"/>
        <s v="18-May"/>
        <s v="19-May"/>
        <s v="20-May"/>
        <s v="21-May"/>
        <s v="22-May"/>
        <s v="23-May"/>
        <s v="24-May"/>
        <s v="25-May"/>
        <s v="26-May"/>
        <s v="27-May"/>
        <s v="28-May"/>
        <s v="29-May"/>
        <s v="30-May"/>
        <s v="31-May"/>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Aug" u="1"/>
        <s v="2-Aug" u="1"/>
        <s v="3-Aug" u="1"/>
        <s v="4-Aug" u="1"/>
        <s v="5-Aug" u="1"/>
        <s v="6-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2-Apr" u="1"/>
        <s v="3-Apr" u="1"/>
        <s v="4-Apr" u="1"/>
        <s v="5-Apr" u="1"/>
        <s v="6-Apr" u="1"/>
        <s v="7-Apr" u="1"/>
        <s v="8-Apr" u="1"/>
        <s v="9-Apr" u="1"/>
        <s v="11-Apr" u="1"/>
        <s v="12-Apr" u="1"/>
        <s v="13-Apr" u="1"/>
        <s v="14-Apr" u="1"/>
        <s v="15-Apr" u="1"/>
        <s v="16-Apr" u="1"/>
        <s v="17-Apr" u="1"/>
        <s v="18-Apr" u="1"/>
        <s v="19-Apr" u="1"/>
        <s v="20-Apr" u="1"/>
        <s v="22-Apr" u="1"/>
        <s v="23-Apr" u="1"/>
        <s v="24-Apr" u="1"/>
        <s v="25-Apr" u="1"/>
        <s v="26-Apr" u="1"/>
        <s v="27-Apr" u="1"/>
        <s v="28-Apr" u="1"/>
        <s v="29-Apr" u="1"/>
        <s v="30-Apr"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Apr" u="1"/>
        <s v="10-Apr" u="1"/>
        <s v="21-Apr"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7-Feb" u="1"/>
        <s v="28-Feb" u="1"/>
        <s v="29-Feb"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 v="7-Aug" u="1"/>
        <s v="15-May"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Dec" u="1"/>
        <s v="2-Dec" u="1"/>
        <s v="3-Dec" u="1"/>
        <s v="4-Dec" u="1"/>
        <s v="5-Dec" u="1"/>
        <s v="6-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26-Feb" u="1"/>
        <s v="7-Dec" u="1"/>
        <s v="31-Dec" u="1"/>
      </sharedItems>
    </cacheField>
    <cacheField name="[Calender_table].[Date (Month)].[Date (Month)]" caption="Date (Month)" numFmtId="0" hierarchy="1" level="1">
      <sharedItems count="10">
        <s v="May"/>
        <s v="Sep" u="1"/>
        <s v="Aug" u="1"/>
        <s v="Jul" u="1"/>
        <s v="Apr" u="1"/>
        <s v="Jun" u="1"/>
        <s v="Mar" u="1"/>
        <s v="Oct" u="1"/>
        <s v="Nov" u="1"/>
        <s v="Dec" u="1"/>
      </sharedItems>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72569442" backgroundQuery="1" createdVersion="8" refreshedVersion="8" minRefreshableVersion="3" recordCount="0" supportSubquery="1" supportAdvancedDrill="1" xr:uid="{3046FDF8-69AB-4F3E-9AAC-AA5004ED3139}">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73263888" backgroundQuery="1" createdVersion="8" refreshedVersion="8" minRefreshableVersion="3" recordCount="0" supportSubquery="1" supportAdvancedDrill="1" xr:uid="{3BD70848-84EF-4B02-87BC-AADF24E1469A}">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7372685" backgroundQuery="1" createdVersion="8" refreshedVersion="8" minRefreshableVersion="3" recordCount="0" supportSubquery="1" supportAdvancedDrill="1" xr:uid="{475B1B3E-11FA-4487-89FB-22174DCFD497}">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74189812" backgroundQuery="1" createdVersion="8" refreshedVersion="8" minRefreshableVersion="3" recordCount="0" supportSubquery="1" supportAdvancedDrill="1" xr:uid="{D66C66F0-F985-467D-B5BB-7FF1FFDE8F4C}">
  <cacheSource type="external" connectionId="3"/>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
        <s v="M"/>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74884258" backgroundQuery="1" createdVersion="8" refreshedVersion="8" minRefreshableVersion="3" recordCount="0" supportSubquery="1" supportAdvancedDrill="1" xr:uid="{60842D36-7C0A-4CEF-8B0A-B69C4612D411}">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1.612375462966" backgroundQuery="1" createdVersion="8" refreshedVersion="8" minRefreshableVersion="3" recordCount="0" supportSubquery="1" supportAdvancedDrill="1" xr:uid="{AC355B42-FE3A-4CAF-8A90-0C13050D5DCD}">
  <cacheSource type="external" connectionId="3"/>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TIL" refreshedDate="45910.683062384262" backgroundQuery="1" createdVersion="3" refreshedVersion="8" minRefreshableVersion="3" recordCount="0" supportSubquery="1" supportAdvancedDrill="1" xr:uid="{6AFFF4F1-689B-4ACA-BD21-94EC37C25D4A}">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078000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D89210-0E8C-4D66-945C-7853179CED30}" name="PivotTable3" cacheId="1" applyNumberFormats="0" applyBorderFormats="0" applyFontFormats="0" applyPatternFormats="0" applyAlignmentFormats="0" applyWidthHeightFormats="1" dataCaption="Values" tag="001f7166-902b-4643-87d5-42b5dadc08b3" updatedVersion="8" minRefreshableVersion="3" subtotalHiddenItems="1" itemPrintTitles="1" createdVersion="8" indent="0" outline="1" outlineData="1" multipleFieldFilters="0" chartFormat="2">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A38D96-6C0C-4D87-9360-C545B1E28D08}" name="PivotTable9" cacheId="8" applyNumberFormats="0" applyBorderFormats="0" applyFontFormats="0" applyPatternFormats="0" applyAlignmentFormats="0" applyWidthHeightFormats="1" dataCaption="Values" tag="243ccb62-a077-49a4-8ff4-115df1fe1942" updatedVersion="8" minRefreshableVersion="3" subtotalHiddenItems="1" itemPrintTitles="1" createdVersion="8" indent="0" outline="1" outlineData="1" multipleFieldFilters="0" chartFormat="22">
  <location ref="B69:C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4">
    <format dxfId="4">
      <pivotArea outline="0" collapsedLevelsAreSubtotals="1" fieldPosition="0"/>
    </format>
    <format dxfId="3">
      <pivotArea grandRow="1" outline="0" collapsedLevelsAreSubtotals="1" fieldPosition="0"/>
    </format>
    <format dxfId="2">
      <pivotArea collapsedLevelsAreSubtotals="1" fieldPosition="0">
        <references count="1">
          <reference field="1" count="1">
            <x v="0"/>
          </reference>
        </references>
      </pivotArea>
    </format>
    <format dxfId="1">
      <pivotArea collapsedLevelsAreSubtotals="1" fieldPosition="0">
        <references count="1">
          <reference field="1" count="1">
            <x v="1"/>
          </reference>
        </references>
      </pivotArea>
    </format>
  </formats>
  <chartFormats count="3">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07172D-58E3-4F7D-BDD0-4C9B1D93C35F}" name="PivotTable4" cacheId="2" applyNumberFormats="0" applyBorderFormats="0" applyFontFormats="0" applyPatternFormats="0" applyAlignmentFormats="0" applyWidthHeightFormats="1" dataCaption="Values" tag="243ccb62-a077-49a4-8ff4-115df1fe1942" updatedVersion="8" minRefreshableVersion="3" subtotalHiddenItems="1" itemPrintTitles="1" createdVersion="8" indent="0" outline="1" outlineData="1" multipleFieldFilters="0" chartFormat="2">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5">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AD0E2C-C2D5-4709-9A6F-C2A1DCC16E4B}" name="PivotTable6" cacheId="5" applyNumberFormats="0" applyBorderFormats="0" applyFontFormats="0" applyPatternFormats="0" applyAlignmentFormats="0" applyWidthHeightFormats="1" dataCaption="Values" tag="2220c5b8-c33b-4b2e-b6ff-7f4c19f81e18" updatedVersion="8" minRefreshableVersion="3" subtotalHiddenItems="1" itemPrintTitles="1" createdVersion="8" indent="0" outline="1" outlineData="1" multipleFieldFilters="0" chartFormat="58">
  <location ref="J3:K35" firstHeaderRow="1" firstDataRow="1" firstDataCol="1"/>
  <pivotFields count="5">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366">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 x="304" e="0"/>
        <item x="305" e="0"/>
        <item x="306" e="0"/>
        <item x="307" e="0"/>
        <item x="308" e="0"/>
        <item x="309" e="0"/>
        <item x="310" e="0"/>
        <item x="311" e="0"/>
        <item x="312" e="0"/>
        <item x="313" e="0"/>
        <item x="314" e="0"/>
        <item x="315" e="0"/>
        <item x="316" e="0"/>
        <item x="317" e="0"/>
        <item x="318" e="0"/>
        <item x="319" e="0"/>
        <item x="320" e="0"/>
        <item x="321" e="0"/>
        <item x="322" e="0"/>
        <item x="323" e="0"/>
        <item x="324" e="0"/>
        <item x="325" e="0"/>
        <item x="326" e="0"/>
        <item x="327" e="0"/>
        <item x="328" e="0"/>
        <item x="329" e="0"/>
        <item x="330" e="0"/>
        <item x="331" e="0"/>
        <item x="332" e="0"/>
        <item x="333" e="0"/>
        <item x="334" e="0"/>
        <item x="335" e="0"/>
        <item x="336" e="0"/>
        <item x="337" e="0"/>
        <item x="338" e="0"/>
        <item x="339" e="0"/>
        <item x="340" e="0"/>
        <item x="341" e="0"/>
        <item x="342" e="0"/>
        <item x="343" e="0"/>
        <item x="344" e="0"/>
        <item x="345" e="0"/>
        <item x="346" e="0"/>
        <item x="347" e="0"/>
        <item x="348" e="0"/>
        <item x="349" e="0"/>
        <item x="350" e="0"/>
        <item x="351" e="0"/>
        <item x="352" e="0"/>
        <item x="353" e="0"/>
        <item x="354" e="0"/>
        <item x="355" e="0"/>
        <item x="356" e="0"/>
        <item x="357" e="0"/>
        <item x="358" e="0"/>
        <item x="359" e="0"/>
        <item x="360" e="0"/>
        <item x="361" e="0"/>
        <item x="362" e="0"/>
        <item x="363" e="0"/>
        <item x="364" e="0"/>
        <item x="365" e="0"/>
      </items>
    </pivotField>
    <pivotField axis="axisRow" allDrilled="1" subtotalTop="0" showAll="0" dataSourceSort="1" defaultSubtotal="0" defaultAttributeDrillState="1">
      <items count="10">
        <item s="1"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3">
    <field x="2"/>
    <field x="1"/>
    <field x="0"/>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Average of Patient Satisfaction Score" fld="3" subtotal="average" baseField="1" baseItem="1"/>
  </dataFields>
  <formats count="376">
    <format dxfId="381">
      <pivotArea collapsedLevelsAreSubtotals="1" fieldPosition="0">
        <references count="2">
          <reference field="1" count="1">
            <x v="240"/>
          </reference>
          <reference field="2" count="0" selected="0"/>
        </references>
      </pivotArea>
    </format>
    <format dxfId="380">
      <pivotArea collapsedLevelsAreSubtotals="1" fieldPosition="0">
        <references count="2">
          <reference field="1" count="1">
            <x v="241"/>
          </reference>
          <reference field="2" count="0" selected="0"/>
        </references>
      </pivotArea>
    </format>
    <format dxfId="379">
      <pivotArea collapsedLevelsAreSubtotals="1" fieldPosition="0">
        <references count="2">
          <reference field="1" count="1">
            <x v="242"/>
          </reference>
          <reference field="2" count="0" selected="0"/>
        </references>
      </pivotArea>
    </format>
    <format dxfId="378">
      <pivotArea collapsedLevelsAreSubtotals="1" fieldPosition="0">
        <references count="2">
          <reference field="1" count="1">
            <x v="243"/>
          </reference>
          <reference field="2" count="0" selected="0"/>
        </references>
      </pivotArea>
    </format>
    <format dxfId="377">
      <pivotArea collapsedLevelsAreSubtotals="1" fieldPosition="0">
        <references count="2">
          <reference field="1" count="1">
            <x v="244"/>
          </reference>
          <reference field="2" count="0" selected="0"/>
        </references>
      </pivotArea>
    </format>
    <format dxfId="376">
      <pivotArea collapsedLevelsAreSubtotals="1" fieldPosition="0">
        <references count="2">
          <reference field="1" count="1">
            <x v="245"/>
          </reference>
          <reference field="2" count="0" selected="0"/>
        </references>
      </pivotArea>
    </format>
    <format dxfId="375">
      <pivotArea collapsedLevelsAreSubtotals="1" fieldPosition="0">
        <references count="2">
          <reference field="1" count="1">
            <x v="246"/>
          </reference>
          <reference field="2" count="0" selected="0"/>
        </references>
      </pivotArea>
    </format>
    <format dxfId="374">
      <pivotArea collapsedLevelsAreSubtotals="1" fieldPosition="0">
        <references count="2">
          <reference field="1" count="1">
            <x v="247"/>
          </reference>
          <reference field="2" count="0" selected="0"/>
        </references>
      </pivotArea>
    </format>
    <format dxfId="373">
      <pivotArea collapsedLevelsAreSubtotals="1" fieldPosition="0">
        <references count="2">
          <reference field="1" count="1">
            <x v="248"/>
          </reference>
          <reference field="2" count="0" selected="0"/>
        </references>
      </pivotArea>
    </format>
    <format dxfId="372">
      <pivotArea collapsedLevelsAreSubtotals="1" fieldPosition="0">
        <references count="2">
          <reference field="1" count="1">
            <x v="249"/>
          </reference>
          <reference field="2" count="0" selected="0"/>
        </references>
      </pivotArea>
    </format>
    <format dxfId="371">
      <pivotArea collapsedLevelsAreSubtotals="1" fieldPosition="0">
        <references count="2">
          <reference field="1" count="1">
            <x v="250"/>
          </reference>
          <reference field="2" count="0" selected="0"/>
        </references>
      </pivotArea>
    </format>
    <format dxfId="370">
      <pivotArea collapsedLevelsAreSubtotals="1" fieldPosition="0">
        <references count="2">
          <reference field="1" count="1">
            <x v="251"/>
          </reference>
          <reference field="2" count="0" selected="0"/>
        </references>
      </pivotArea>
    </format>
    <format dxfId="369">
      <pivotArea collapsedLevelsAreSubtotals="1" fieldPosition="0">
        <references count="2">
          <reference field="1" count="1">
            <x v="252"/>
          </reference>
          <reference field="2" count="0" selected="0"/>
        </references>
      </pivotArea>
    </format>
    <format dxfId="368">
      <pivotArea collapsedLevelsAreSubtotals="1" fieldPosition="0">
        <references count="2">
          <reference field="1" count="1">
            <x v="253"/>
          </reference>
          <reference field="2" count="0" selected="0"/>
        </references>
      </pivotArea>
    </format>
    <format dxfId="367">
      <pivotArea collapsedLevelsAreSubtotals="1" fieldPosition="0">
        <references count="2">
          <reference field="1" count="1">
            <x v="254"/>
          </reference>
          <reference field="2" count="0" selected="0"/>
        </references>
      </pivotArea>
    </format>
    <format dxfId="366">
      <pivotArea collapsedLevelsAreSubtotals="1" fieldPosition="0">
        <references count="2">
          <reference field="1" count="1">
            <x v="255"/>
          </reference>
          <reference field="2" count="0" selected="0"/>
        </references>
      </pivotArea>
    </format>
    <format dxfId="365">
      <pivotArea collapsedLevelsAreSubtotals="1" fieldPosition="0">
        <references count="2">
          <reference field="1" count="1">
            <x v="256"/>
          </reference>
          <reference field="2" count="0" selected="0"/>
        </references>
      </pivotArea>
    </format>
    <format dxfId="364">
      <pivotArea collapsedLevelsAreSubtotals="1" fieldPosition="0">
        <references count="2">
          <reference field="1" count="1">
            <x v="257"/>
          </reference>
          <reference field="2" count="0" selected="0"/>
        </references>
      </pivotArea>
    </format>
    <format dxfId="363">
      <pivotArea collapsedLevelsAreSubtotals="1" fieldPosition="0">
        <references count="2">
          <reference field="1" count="1">
            <x v="258"/>
          </reference>
          <reference field="2" count="0" selected="0"/>
        </references>
      </pivotArea>
    </format>
    <format dxfId="362">
      <pivotArea collapsedLevelsAreSubtotals="1" fieldPosition="0">
        <references count="2">
          <reference field="1" count="1">
            <x v="259"/>
          </reference>
          <reference field="2" count="0" selected="0"/>
        </references>
      </pivotArea>
    </format>
    <format dxfId="361">
      <pivotArea collapsedLevelsAreSubtotals="1" fieldPosition="0">
        <references count="2">
          <reference field="1" count="1">
            <x v="260"/>
          </reference>
          <reference field="2" count="0" selected="0"/>
        </references>
      </pivotArea>
    </format>
    <format dxfId="360">
      <pivotArea collapsedLevelsAreSubtotals="1" fieldPosition="0">
        <references count="2">
          <reference field="1" count="1">
            <x v="261"/>
          </reference>
          <reference field="2" count="0" selected="0"/>
        </references>
      </pivotArea>
    </format>
    <format dxfId="359">
      <pivotArea collapsedLevelsAreSubtotals="1" fieldPosition="0">
        <references count="2">
          <reference field="1" count="1">
            <x v="262"/>
          </reference>
          <reference field="2" count="0" selected="0"/>
        </references>
      </pivotArea>
    </format>
    <format dxfId="358">
      <pivotArea collapsedLevelsAreSubtotals="1" fieldPosition="0">
        <references count="2">
          <reference field="1" count="1">
            <x v="263"/>
          </reference>
          <reference field="2" count="0" selected="0"/>
        </references>
      </pivotArea>
    </format>
    <format dxfId="357">
      <pivotArea collapsedLevelsAreSubtotals="1" fieldPosition="0">
        <references count="2">
          <reference field="1" count="1">
            <x v="264"/>
          </reference>
          <reference field="2" count="0" selected="0"/>
        </references>
      </pivotArea>
    </format>
    <format dxfId="356">
      <pivotArea collapsedLevelsAreSubtotals="1" fieldPosition="0">
        <references count="2">
          <reference field="1" count="1">
            <x v="265"/>
          </reference>
          <reference field="2" count="0" selected="0"/>
        </references>
      </pivotArea>
    </format>
    <format dxfId="355">
      <pivotArea collapsedLevelsAreSubtotals="1" fieldPosition="0">
        <references count="2">
          <reference field="1" count="1">
            <x v="266"/>
          </reference>
          <reference field="2" count="0" selected="0"/>
        </references>
      </pivotArea>
    </format>
    <format dxfId="354">
      <pivotArea collapsedLevelsAreSubtotals="1" fieldPosition="0">
        <references count="2">
          <reference field="1" count="1">
            <x v="267"/>
          </reference>
          <reference field="2" count="0" selected="0"/>
        </references>
      </pivotArea>
    </format>
    <format dxfId="353">
      <pivotArea collapsedLevelsAreSubtotals="1" fieldPosition="0">
        <references count="2">
          <reference field="1" count="1">
            <x v="268"/>
          </reference>
          <reference field="2" count="0" selected="0"/>
        </references>
      </pivotArea>
    </format>
    <format dxfId="352">
      <pivotArea collapsedLevelsAreSubtotals="1" fieldPosition="0">
        <references count="2">
          <reference field="1" count="1">
            <x v="269"/>
          </reference>
          <reference field="2" count="0" selected="0"/>
        </references>
      </pivotArea>
    </format>
    <format dxfId="351">
      <pivotArea collapsedLevelsAreSubtotals="1" fieldPosition="0">
        <references count="2">
          <reference field="1" count="1">
            <x v="270"/>
          </reference>
          <reference field="2" count="0" selected="0"/>
        </references>
      </pivotArea>
    </format>
    <format dxfId="350">
      <pivotArea collapsedLevelsAreSubtotals="1" fieldPosition="0">
        <references count="2">
          <reference field="1" count="1">
            <x v="212"/>
          </reference>
          <reference field="2" count="0" selected="0"/>
        </references>
      </pivotArea>
    </format>
    <format dxfId="349">
      <pivotArea collapsedLevelsAreSubtotals="1" fieldPosition="0">
        <references count="2">
          <reference field="1" count="1">
            <x v="213"/>
          </reference>
          <reference field="2" count="0" selected="0"/>
        </references>
      </pivotArea>
    </format>
    <format dxfId="348">
      <pivotArea collapsedLevelsAreSubtotals="1" fieldPosition="0">
        <references count="2">
          <reference field="1" count="1">
            <x v="214"/>
          </reference>
          <reference field="2" count="0" selected="0"/>
        </references>
      </pivotArea>
    </format>
    <format dxfId="347">
      <pivotArea collapsedLevelsAreSubtotals="1" fieldPosition="0">
        <references count="2">
          <reference field="1" count="1">
            <x v="215"/>
          </reference>
          <reference field="2" count="0" selected="0"/>
        </references>
      </pivotArea>
    </format>
    <format dxfId="346">
      <pivotArea collapsedLevelsAreSubtotals="1" fieldPosition="0">
        <references count="2">
          <reference field="1" count="1">
            <x v="216"/>
          </reference>
          <reference field="2" count="0" selected="0"/>
        </references>
      </pivotArea>
    </format>
    <format dxfId="345">
      <pivotArea collapsedLevelsAreSubtotals="1" fieldPosition="0">
        <references count="2">
          <reference field="1" count="1">
            <x v="217"/>
          </reference>
          <reference field="2" count="0" selected="0"/>
        </references>
      </pivotArea>
    </format>
    <format dxfId="344">
      <pivotArea collapsedLevelsAreSubtotals="1" fieldPosition="0">
        <references count="2">
          <reference field="1" count="1">
            <x v="218"/>
          </reference>
          <reference field="2" count="0" selected="0"/>
        </references>
      </pivotArea>
    </format>
    <format dxfId="343">
      <pivotArea collapsedLevelsAreSubtotals="1" fieldPosition="0">
        <references count="2">
          <reference field="1" count="1">
            <x v="219"/>
          </reference>
          <reference field="2" count="0" selected="0"/>
        </references>
      </pivotArea>
    </format>
    <format dxfId="342">
      <pivotArea collapsedLevelsAreSubtotals="1" fieldPosition="0">
        <references count="2">
          <reference field="1" count="1">
            <x v="220"/>
          </reference>
          <reference field="2" count="0" selected="0"/>
        </references>
      </pivotArea>
    </format>
    <format dxfId="341">
      <pivotArea collapsedLevelsAreSubtotals="1" fieldPosition="0">
        <references count="2">
          <reference field="1" count="1">
            <x v="221"/>
          </reference>
          <reference field="2" count="0" selected="0"/>
        </references>
      </pivotArea>
    </format>
    <format dxfId="340">
      <pivotArea collapsedLevelsAreSubtotals="1" fieldPosition="0">
        <references count="2">
          <reference field="1" count="1">
            <x v="222"/>
          </reference>
          <reference field="2" count="0" selected="0"/>
        </references>
      </pivotArea>
    </format>
    <format dxfId="339">
      <pivotArea collapsedLevelsAreSubtotals="1" fieldPosition="0">
        <references count="2">
          <reference field="1" count="1">
            <x v="223"/>
          </reference>
          <reference field="2" count="0" selected="0"/>
        </references>
      </pivotArea>
    </format>
    <format dxfId="338">
      <pivotArea collapsedLevelsAreSubtotals="1" fieldPosition="0">
        <references count="2">
          <reference field="1" count="1">
            <x v="224"/>
          </reference>
          <reference field="2" count="0" selected="0"/>
        </references>
      </pivotArea>
    </format>
    <format dxfId="337">
      <pivotArea collapsedLevelsAreSubtotals="1" fieldPosition="0">
        <references count="2">
          <reference field="1" count="1">
            <x v="225"/>
          </reference>
          <reference field="2" count="0" selected="0"/>
        </references>
      </pivotArea>
    </format>
    <format dxfId="336">
      <pivotArea collapsedLevelsAreSubtotals="1" fieldPosition="0">
        <references count="2">
          <reference field="1" count="1">
            <x v="226"/>
          </reference>
          <reference field="2" count="0" selected="0"/>
        </references>
      </pivotArea>
    </format>
    <format dxfId="335">
      <pivotArea collapsedLevelsAreSubtotals="1" fieldPosition="0">
        <references count="2">
          <reference field="1" count="1">
            <x v="227"/>
          </reference>
          <reference field="2" count="0" selected="0"/>
        </references>
      </pivotArea>
    </format>
    <format dxfId="334">
      <pivotArea collapsedLevelsAreSubtotals="1" fieldPosition="0">
        <references count="2">
          <reference field="1" count="1">
            <x v="228"/>
          </reference>
          <reference field="2" count="0" selected="0"/>
        </references>
      </pivotArea>
    </format>
    <format dxfId="333">
      <pivotArea collapsedLevelsAreSubtotals="1" fieldPosition="0">
        <references count="2">
          <reference field="1" count="1">
            <x v="229"/>
          </reference>
          <reference field="2" count="0" selected="0"/>
        </references>
      </pivotArea>
    </format>
    <format dxfId="332">
      <pivotArea collapsedLevelsAreSubtotals="1" fieldPosition="0">
        <references count="2">
          <reference field="1" count="1">
            <x v="230"/>
          </reference>
          <reference field="2" count="0" selected="0"/>
        </references>
      </pivotArea>
    </format>
    <format dxfId="331">
      <pivotArea collapsedLevelsAreSubtotals="1" fieldPosition="0">
        <references count="2">
          <reference field="1" count="1">
            <x v="231"/>
          </reference>
          <reference field="2" count="0" selected="0"/>
        </references>
      </pivotArea>
    </format>
    <format dxfId="330">
      <pivotArea collapsedLevelsAreSubtotals="1" fieldPosition="0">
        <references count="2">
          <reference field="1" count="1">
            <x v="232"/>
          </reference>
          <reference field="2" count="0" selected="0"/>
        </references>
      </pivotArea>
    </format>
    <format dxfId="329">
      <pivotArea collapsedLevelsAreSubtotals="1" fieldPosition="0">
        <references count="2">
          <reference field="1" count="1">
            <x v="233"/>
          </reference>
          <reference field="2" count="0" selected="0"/>
        </references>
      </pivotArea>
    </format>
    <format dxfId="328">
      <pivotArea collapsedLevelsAreSubtotals="1" fieldPosition="0">
        <references count="2">
          <reference field="1" count="1">
            <x v="234"/>
          </reference>
          <reference field="2" count="0" selected="0"/>
        </references>
      </pivotArea>
    </format>
    <format dxfId="327">
      <pivotArea collapsedLevelsAreSubtotals="1" fieldPosition="0">
        <references count="2">
          <reference field="1" count="1">
            <x v="235"/>
          </reference>
          <reference field="2" count="0" selected="0"/>
        </references>
      </pivotArea>
    </format>
    <format dxfId="326">
      <pivotArea collapsedLevelsAreSubtotals="1" fieldPosition="0">
        <references count="2">
          <reference field="1" count="1">
            <x v="236"/>
          </reference>
          <reference field="2" count="0" selected="0"/>
        </references>
      </pivotArea>
    </format>
    <format dxfId="325">
      <pivotArea collapsedLevelsAreSubtotals="1" fieldPosition="0">
        <references count="2">
          <reference field="1" count="1">
            <x v="363"/>
          </reference>
          <reference field="2" count="0" selected="0"/>
        </references>
      </pivotArea>
    </format>
    <format dxfId="324">
      <pivotArea collapsedLevelsAreSubtotals="1" fieldPosition="0">
        <references count="2">
          <reference field="1" count="1">
            <x v="237"/>
          </reference>
          <reference field="2" count="0" selected="0"/>
        </references>
      </pivotArea>
    </format>
    <format dxfId="323">
      <pivotArea collapsedLevelsAreSubtotals="1" fieldPosition="0">
        <references count="2">
          <reference field="1" count="1">
            <x v="238"/>
          </reference>
          <reference field="2" count="0" selected="0"/>
        </references>
      </pivotArea>
    </format>
    <format dxfId="322">
      <pivotArea collapsedLevelsAreSubtotals="1" fieldPosition="0">
        <references count="2">
          <reference field="1" count="1">
            <x v="239"/>
          </reference>
          <reference field="2" count="0" selected="0"/>
        </references>
      </pivotArea>
    </format>
    <format dxfId="321">
      <pivotArea collapsedLevelsAreSubtotals="1" fieldPosition="0">
        <references count="2">
          <reference field="1" count="1">
            <x v="181"/>
          </reference>
          <reference field="2" count="1" selected="0">
            <x v="6"/>
          </reference>
        </references>
      </pivotArea>
    </format>
    <format dxfId="320">
      <pivotArea collapsedLevelsAreSubtotals="1" fieldPosition="0">
        <references count="2">
          <reference field="1" count="1">
            <x v="182"/>
          </reference>
          <reference field="2" count="1" selected="0">
            <x v="6"/>
          </reference>
        </references>
      </pivotArea>
    </format>
    <format dxfId="319">
      <pivotArea collapsedLevelsAreSubtotals="1" fieldPosition="0">
        <references count="2">
          <reference field="1" count="1">
            <x v="183"/>
          </reference>
          <reference field="2" count="1" selected="0">
            <x v="6"/>
          </reference>
        </references>
      </pivotArea>
    </format>
    <format dxfId="318">
      <pivotArea collapsedLevelsAreSubtotals="1" fieldPosition="0">
        <references count="2">
          <reference field="1" count="1">
            <x v="184"/>
          </reference>
          <reference field="2" count="1" selected="0">
            <x v="6"/>
          </reference>
        </references>
      </pivotArea>
    </format>
    <format dxfId="317">
      <pivotArea collapsedLevelsAreSubtotals="1" fieldPosition="0">
        <references count="2">
          <reference field="1" count="1">
            <x v="185"/>
          </reference>
          <reference field="2" count="1" selected="0">
            <x v="6"/>
          </reference>
        </references>
      </pivotArea>
    </format>
    <format dxfId="316">
      <pivotArea collapsedLevelsAreSubtotals="1" fieldPosition="0">
        <references count="2">
          <reference field="1" count="1">
            <x v="186"/>
          </reference>
          <reference field="2" count="1" selected="0">
            <x v="6"/>
          </reference>
        </references>
      </pivotArea>
    </format>
    <format dxfId="315">
      <pivotArea collapsedLevelsAreSubtotals="1" fieldPosition="0">
        <references count="2">
          <reference field="1" count="1">
            <x v="187"/>
          </reference>
          <reference field="2" count="1" selected="0">
            <x v="6"/>
          </reference>
        </references>
      </pivotArea>
    </format>
    <format dxfId="314">
      <pivotArea collapsedLevelsAreSubtotals="1" fieldPosition="0">
        <references count="2">
          <reference field="1" count="1">
            <x v="188"/>
          </reference>
          <reference field="2" count="1" selected="0">
            <x v="6"/>
          </reference>
        </references>
      </pivotArea>
    </format>
    <format dxfId="313">
      <pivotArea collapsedLevelsAreSubtotals="1" fieldPosition="0">
        <references count="2">
          <reference field="1" count="1">
            <x v="189"/>
          </reference>
          <reference field="2" count="1" selected="0">
            <x v="6"/>
          </reference>
        </references>
      </pivotArea>
    </format>
    <format dxfId="312">
      <pivotArea collapsedLevelsAreSubtotals="1" fieldPosition="0">
        <references count="2">
          <reference field="1" count="1">
            <x v="190"/>
          </reference>
          <reference field="2" count="1" selected="0">
            <x v="6"/>
          </reference>
        </references>
      </pivotArea>
    </format>
    <format dxfId="311">
      <pivotArea collapsedLevelsAreSubtotals="1" fieldPosition="0">
        <references count="2">
          <reference field="1" count="1">
            <x v="191"/>
          </reference>
          <reference field="2" count="1" selected="0">
            <x v="6"/>
          </reference>
        </references>
      </pivotArea>
    </format>
    <format dxfId="310">
      <pivotArea collapsedLevelsAreSubtotals="1" fieldPosition="0">
        <references count="2">
          <reference field="1" count="1">
            <x v="192"/>
          </reference>
          <reference field="2" count="1" selected="0">
            <x v="6"/>
          </reference>
        </references>
      </pivotArea>
    </format>
    <format dxfId="309">
      <pivotArea collapsedLevelsAreSubtotals="1" fieldPosition="0">
        <references count="2">
          <reference field="1" count="1">
            <x v="193"/>
          </reference>
          <reference field="2" count="1" selected="0">
            <x v="6"/>
          </reference>
        </references>
      </pivotArea>
    </format>
    <format dxfId="308">
      <pivotArea collapsedLevelsAreSubtotals="1" fieldPosition="0">
        <references count="2">
          <reference field="1" count="1">
            <x v="194"/>
          </reference>
          <reference field="2" count="1" selected="0">
            <x v="6"/>
          </reference>
        </references>
      </pivotArea>
    </format>
    <format dxfId="307">
      <pivotArea collapsedLevelsAreSubtotals="1" fieldPosition="0">
        <references count="2">
          <reference field="1" count="1">
            <x v="195"/>
          </reference>
          <reference field="2" count="1" selected="0">
            <x v="6"/>
          </reference>
        </references>
      </pivotArea>
    </format>
    <format dxfId="306">
      <pivotArea collapsedLevelsAreSubtotals="1" fieldPosition="0">
        <references count="2">
          <reference field="1" count="1">
            <x v="196"/>
          </reference>
          <reference field="2" count="1" selected="0">
            <x v="6"/>
          </reference>
        </references>
      </pivotArea>
    </format>
    <format dxfId="305">
      <pivotArea collapsedLevelsAreSubtotals="1" fieldPosition="0">
        <references count="2">
          <reference field="1" count="1">
            <x v="197"/>
          </reference>
          <reference field="2" count="1" selected="0">
            <x v="6"/>
          </reference>
        </references>
      </pivotArea>
    </format>
    <format dxfId="304">
      <pivotArea collapsedLevelsAreSubtotals="1" fieldPosition="0">
        <references count="2">
          <reference field="1" count="1">
            <x v="198"/>
          </reference>
          <reference field="2" count="1" selected="0">
            <x v="6"/>
          </reference>
        </references>
      </pivotArea>
    </format>
    <format dxfId="303">
      <pivotArea collapsedLevelsAreSubtotals="1" fieldPosition="0">
        <references count="2">
          <reference field="1" count="1">
            <x v="199"/>
          </reference>
          <reference field="2" count="1" selected="0">
            <x v="6"/>
          </reference>
        </references>
      </pivotArea>
    </format>
    <format dxfId="302">
      <pivotArea collapsedLevelsAreSubtotals="1" fieldPosition="0">
        <references count="2">
          <reference field="1" count="1">
            <x v="200"/>
          </reference>
          <reference field="2" count="1" selected="0">
            <x v="6"/>
          </reference>
        </references>
      </pivotArea>
    </format>
    <format dxfId="301">
      <pivotArea collapsedLevelsAreSubtotals="1" fieldPosition="0">
        <references count="2">
          <reference field="1" count="1">
            <x v="201"/>
          </reference>
          <reference field="2" count="1" selected="0">
            <x v="6"/>
          </reference>
        </references>
      </pivotArea>
    </format>
    <format dxfId="300">
      <pivotArea collapsedLevelsAreSubtotals="1" fieldPosition="0">
        <references count="2">
          <reference field="1" count="1">
            <x v="202"/>
          </reference>
          <reference field="2" count="1" selected="0">
            <x v="6"/>
          </reference>
        </references>
      </pivotArea>
    </format>
    <format dxfId="299">
      <pivotArea collapsedLevelsAreSubtotals="1" fieldPosition="0">
        <references count="2">
          <reference field="1" count="1">
            <x v="203"/>
          </reference>
          <reference field="2" count="1" selected="0">
            <x v="6"/>
          </reference>
        </references>
      </pivotArea>
    </format>
    <format dxfId="298">
      <pivotArea collapsedLevelsAreSubtotals="1" fieldPosition="0">
        <references count="2">
          <reference field="1" count="1">
            <x v="204"/>
          </reference>
          <reference field="2" count="1" selected="0">
            <x v="6"/>
          </reference>
        </references>
      </pivotArea>
    </format>
    <format dxfId="297">
      <pivotArea collapsedLevelsAreSubtotals="1" fieldPosition="0">
        <references count="2">
          <reference field="1" count="1">
            <x v="205"/>
          </reference>
          <reference field="2" count="1" selected="0">
            <x v="6"/>
          </reference>
        </references>
      </pivotArea>
    </format>
    <format dxfId="296">
      <pivotArea collapsedLevelsAreSubtotals="1" fieldPosition="0">
        <references count="2">
          <reference field="1" count="1">
            <x v="206"/>
          </reference>
          <reference field="2" count="1" selected="0">
            <x v="6"/>
          </reference>
        </references>
      </pivotArea>
    </format>
    <format dxfId="295">
      <pivotArea collapsedLevelsAreSubtotals="1" fieldPosition="0">
        <references count="2">
          <reference field="1" count="1">
            <x v="207"/>
          </reference>
          <reference field="2" count="1" selected="0">
            <x v="6"/>
          </reference>
        </references>
      </pivotArea>
    </format>
    <format dxfId="294">
      <pivotArea collapsedLevelsAreSubtotals="1" fieldPosition="0">
        <references count="2">
          <reference field="1" count="1">
            <x v="208"/>
          </reference>
          <reference field="2" count="1" selected="0">
            <x v="6"/>
          </reference>
        </references>
      </pivotArea>
    </format>
    <format dxfId="293">
      <pivotArea collapsedLevelsAreSubtotals="1" fieldPosition="0">
        <references count="2">
          <reference field="1" count="1">
            <x v="209"/>
          </reference>
          <reference field="2" count="1" selected="0">
            <x v="6"/>
          </reference>
        </references>
      </pivotArea>
    </format>
    <format dxfId="292">
      <pivotArea collapsedLevelsAreSubtotals="1" fieldPosition="0">
        <references count="2">
          <reference field="1" count="1">
            <x v="210"/>
          </reference>
          <reference field="2" count="1" selected="0">
            <x v="6"/>
          </reference>
        </references>
      </pivotArea>
    </format>
    <format dxfId="291">
      <pivotArea collapsedLevelsAreSubtotals="1" fieldPosition="0">
        <references count="2">
          <reference field="1" count="1">
            <x v="211"/>
          </reference>
          <reference field="2" count="1" selected="0">
            <x v="6"/>
          </reference>
        </references>
      </pivotArea>
    </format>
    <format dxfId="290">
      <pivotArea collapsedLevelsAreSubtotals="1" fieldPosition="0">
        <references count="1">
          <reference field="2" count="1">
            <x v="4"/>
          </reference>
        </references>
      </pivotArea>
    </format>
    <format dxfId="289">
      <pivotArea collapsedLevelsAreSubtotals="1" fieldPosition="0">
        <references count="2">
          <reference field="1" count="1">
            <x v="178"/>
          </reference>
          <reference field="2" count="1" selected="0">
            <x v="4"/>
          </reference>
        </references>
      </pivotArea>
    </format>
    <format dxfId="288">
      <pivotArea collapsedLevelsAreSubtotals="1" fieldPosition="0">
        <references count="2">
          <reference field="1" count="1">
            <x v="121"/>
          </reference>
          <reference field="2" count="1" selected="0">
            <x v="4"/>
          </reference>
        </references>
      </pivotArea>
    </format>
    <format dxfId="287">
      <pivotArea collapsedLevelsAreSubtotals="1" fieldPosition="0">
        <references count="2">
          <reference field="1" count="1">
            <x v="122"/>
          </reference>
          <reference field="2" count="1" selected="0">
            <x v="4"/>
          </reference>
        </references>
      </pivotArea>
    </format>
    <format dxfId="286">
      <pivotArea collapsedLevelsAreSubtotals="1" fieldPosition="0">
        <references count="2">
          <reference field="1" count="1">
            <x v="123"/>
          </reference>
          <reference field="2" count="1" selected="0">
            <x v="4"/>
          </reference>
        </references>
      </pivotArea>
    </format>
    <format dxfId="285">
      <pivotArea collapsedLevelsAreSubtotals="1" fieldPosition="0">
        <references count="2">
          <reference field="1" count="1">
            <x v="124"/>
          </reference>
          <reference field="2" count="1" selected="0">
            <x v="4"/>
          </reference>
        </references>
      </pivotArea>
    </format>
    <format dxfId="284">
      <pivotArea collapsedLevelsAreSubtotals="1" fieldPosition="0">
        <references count="2">
          <reference field="1" count="1">
            <x v="125"/>
          </reference>
          <reference field="2" count="1" selected="0">
            <x v="4"/>
          </reference>
        </references>
      </pivotArea>
    </format>
    <format dxfId="283">
      <pivotArea collapsedLevelsAreSubtotals="1" fieldPosition="0">
        <references count="2">
          <reference field="1" count="1">
            <x v="126"/>
          </reference>
          <reference field="2" count="1" selected="0">
            <x v="4"/>
          </reference>
        </references>
      </pivotArea>
    </format>
    <format dxfId="282">
      <pivotArea collapsedLevelsAreSubtotals="1" fieldPosition="0">
        <references count="2">
          <reference field="1" count="1">
            <x v="127"/>
          </reference>
          <reference field="2" count="1" selected="0">
            <x v="4"/>
          </reference>
        </references>
      </pivotArea>
    </format>
    <format dxfId="281">
      <pivotArea collapsedLevelsAreSubtotals="1" fieldPosition="0">
        <references count="2">
          <reference field="1" count="1">
            <x v="128"/>
          </reference>
          <reference field="2" count="1" selected="0">
            <x v="4"/>
          </reference>
        </references>
      </pivotArea>
    </format>
    <format dxfId="280">
      <pivotArea collapsedLevelsAreSubtotals="1" fieldPosition="0">
        <references count="2">
          <reference field="1" count="1">
            <x v="179"/>
          </reference>
          <reference field="2" count="1" selected="0">
            <x v="4"/>
          </reference>
        </references>
      </pivotArea>
    </format>
    <format dxfId="279">
      <pivotArea collapsedLevelsAreSubtotals="1" fieldPosition="0">
        <references count="2">
          <reference field="1" count="1">
            <x v="129"/>
          </reference>
          <reference field="2" count="1" selected="0">
            <x v="4"/>
          </reference>
        </references>
      </pivotArea>
    </format>
    <format dxfId="278">
      <pivotArea collapsedLevelsAreSubtotals="1" fieldPosition="0">
        <references count="2">
          <reference field="1" count="1">
            <x v="130"/>
          </reference>
          <reference field="2" count="1" selected="0">
            <x v="4"/>
          </reference>
        </references>
      </pivotArea>
    </format>
    <format dxfId="277">
      <pivotArea collapsedLevelsAreSubtotals="1" fieldPosition="0">
        <references count="2">
          <reference field="1" count="1">
            <x v="131"/>
          </reference>
          <reference field="2" count="1" selected="0">
            <x v="4"/>
          </reference>
        </references>
      </pivotArea>
    </format>
    <format dxfId="276">
      <pivotArea collapsedLevelsAreSubtotals="1" fieldPosition="0">
        <references count="2">
          <reference field="1" count="1">
            <x v="132"/>
          </reference>
          <reference field="2" count="1" selected="0">
            <x v="4"/>
          </reference>
        </references>
      </pivotArea>
    </format>
    <format dxfId="275">
      <pivotArea collapsedLevelsAreSubtotals="1" fieldPosition="0">
        <references count="2">
          <reference field="1" count="1">
            <x v="133"/>
          </reference>
          <reference field="2" count="1" selected="0">
            <x v="4"/>
          </reference>
        </references>
      </pivotArea>
    </format>
    <format dxfId="274">
      <pivotArea collapsedLevelsAreSubtotals="1" fieldPosition="0">
        <references count="2">
          <reference field="1" count="1">
            <x v="134"/>
          </reference>
          <reference field="2" count="1" selected="0">
            <x v="4"/>
          </reference>
        </references>
      </pivotArea>
    </format>
    <format dxfId="273">
      <pivotArea collapsedLevelsAreSubtotals="1" fieldPosition="0">
        <references count="2">
          <reference field="1" count="1">
            <x v="135"/>
          </reference>
          <reference field="2" count="1" selected="0">
            <x v="4"/>
          </reference>
        </references>
      </pivotArea>
    </format>
    <format dxfId="272">
      <pivotArea collapsedLevelsAreSubtotals="1" fieldPosition="0">
        <references count="2">
          <reference field="1" count="1">
            <x v="136"/>
          </reference>
          <reference field="2" count="1" selected="0">
            <x v="4"/>
          </reference>
        </references>
      </pivotArea>
    </format>
    <format dxfId="271">
      <pivotArea collapsedLevelsAreSubtotals="1" fieldPosition="0">
        <references count="2">
          <reference field="1" count="1">
            <x v="137"/>
          </reference>
          <reference field="2" count="1" selected="0">
            <x v="4"/>
          </reference>
        </references>
      </pivotArea>
    </format>
    <format dxfId="270">
      <pivotArea collapsedLevelsAreSubtotals="1" fieldPosition="0">
        <references count="2">
          <reference field="1" count="1">
            <x v="138"/>
          </reference>
          <reference field="2" count="1" selected="0">
            <x v="4"/>
          </reference>
        </references>
      </pivotArea>
    </format>
    <format dxfId="269">
      <pivotArea collapsedLevelsAreSubtotals="1" fieldPosition="0">
        <references count="2">
          <reference field="1" count="1">
            <x v="180"/>
          </reference>
          <reference field="2" count="1" selected="0">
            <x v="4"/>
          </reference>
        </references>
      </pivotArea>
    </format>
    <format dxfId="268">
      <pivotArea collapsedLevelsAreSubtotals="1" fieldPosition="0">
        <references count="2">
          <reference field="1" count="1">
            <x v="139"/>
          </reference>
          <reference field="2" count="1" selected="0">
            <x v="4"/>
          </reference>
        </references>
      </pivotArea>
    </format>
    <format dxfId="267">
      <pivotArea collapsedLevelsAreSubtotals="1" fieldPosition="0">
        <references count="2">
          <reference field="1" count="1">
            <x v="140"/>
          </reference>
          <reference field="2" count="1" selected="0">
            <x v="4"/>
          </reference>
        </references>
      </pivotArea>
    </format>
    <format dxfId="266">
      <pivotArea collapsedLevelsAreSubtotals="1" fieldPosition="0">
        <references count="2">
          <reference field="1" count="1">
            <x v="141"/>
          </reference>
          <reference field="2" count="1" selected="0">
            <x v="4"/>
          </reference>
        </references>
      </pivotArea>
    </format>
    <format dxfId="265">
      <pivotArea collapsedLevelsAreSubtotals="1" fieldPosition="0">
        <references count="2">
          <reference field="1" count="1">
            <x v="142"/>
          </reference>
          <reference field="2" count="1" selected="0">
            <x v="4"/>
          </reference>
        </references>
      </pivotArea>
    </format>
    <format dxfId="264">
      <pivotArea collapsedLevelsAreSubtotals="1" fieldPosition="0">
        <references count="2">
          <reference field="1" count="1">
            <x v="143"/>
          </reference>
          <reference field="2" count="1" selected="0">
            <x v="4"/>
          </reference>
        </references>
      </pivotArea>
    </format>
    <format dxfId="263">
      <pivotArea collapsedLevelsAreSubtotals="1" fieldPosition="0">
        <references count="2">
          <reference field="1" count="1">
            <x v="144"/>
          </reference>
          <reference field="2" count="1" selected="0">
            <x v="4"/>
          </reference>
        </references>
      </pivotArea>
    </format>
    <format dxfId="262">
      <pivotArea collapsedLevelsAreSubtotals="1" fieldPosition="0">
        <references count="2">
          <reference field="1" count="1">
            <x v="145"/>
          </reference>
          <reference field="2" count="1" selected="0">
            <x v="4"/>
          </reference>
        </references>
      </pivotArea>
    </format>
    <format dxfId="261">
      <pivotArea collapsedLevelsAreSubtotals="1" fieldPosition="0">
        <references count="2">
          <reference field="1" count="1">
            <x v="146"/>
          </reference>
          <reference field="2" count="1" selected="0">
            <x v="4"/>
          </reference>
        </references>
      </pivotArea>
    </format>
    <format dxfId="260">
      <pivotArea collapsedLevelsAreSubtotals="1" fieldPosition="0">
        <references count="2">
          <reference field="1" count="1">
            <x v="147"/>
          </reference>
          <reference field="2" count="1" selected="0">
            <x v="4"/>
          </reference>
        </references>
      </pivotArea>
    </format>
    <format dxfId="259">
      <pivotArea collapsedLevelsAreSubtotals="1" fieldPosition="0">
        <references count="1">
          <reference field="2" count="1">
            <x v="0"/>
          </reference>
        </references>
      </pivotArea>
    </format>
    <format dxfId="258">
      <pivotArea collapsedLevelsAreSubtotals="1" fieldPosition="0">
        <references count="2">
          <reference field="1" count="1">
            <x v="0"/>
          </reference>
          <reference field="2" count="1" selected="0">
            <x v="0"/>
          </reference>
        </references>
      </pivotArea>
    </format>
    <format dxfId="257">
      <pivotArea collapsedLevelsAreSubtotals="1" fieldPosition="0">
        <references count="2">
          <reference field="1" count="1">
            <x v="1"/>
          </reference>
          <reference field="2" count="1" selected="0">
            <x v="0"/>
          </reference>
        </references>
      </pivotArea>
    </format>
    <format dxfId="256">
      <pivotArea collapsedLevelsAreSubtotals="1" fieldPosition="0">
        <references count="2">
          <reference field="1" count="1">
            <x v="2"/>
          </reference>
          <reference field="2" count="1" selected="0">
            <x v="0"/>
          </reference>
        </references>
      </pivotArea>
    </format>
    <format dxfId="255">
      <pivotArea collapsedLevelsAreSubtotals="1" fieldPosition="0">
        <references count="2">
          <reference field="1" count="1">
            <x v="3"/>
          </reference>
          <reference field="2" count="1" selected="0">
            <x v="0"/>
          </reference>
        </references>
      </pivotArea>
    </format>
    <format dxfId="254">
      <pivotArea collapsedLevelsAreSubtotals="1" fieldPosition="0">
        <references count="2">
          <reference field="1" count="1">
            <x v="4"/>
          </reference>
          <reference field="2" count="1" selected="0">
            <x v="0"/>
          </reference>
        </references>
      </pivotArea>
    </format>
    <format dxfId="253">
      <pivotArea collapsedLevelsAreSubtotals="1" fieldPosition="0">
        <references count="2">
          <reference field="1" count="1">
            <x v="5"/>
          </reference>
          <reference field="2" count="1" selected="0">
            <x v="0"/>
          </reference>
        </references>
      </pivotArea>
    </format>
    <format dxfId="252">
      <pivotArea collapsedLevelsAreSubtotals="1" fieldPosition="0">
        <references count="2">
          <reference field="1" count="1">
            <x v="6"/>
          </reference>
          <reference field="2" count="1" selected="0">
            <x v="0"/>
          </reference>
        </references>
      </pivotArea>
    </format>
    <format dxfId="251">
      <pivotArea collapsedLevelsAreSubtotals="1" fieldPosition="0">
        <references count="2">
          <reference field="1" count="1">
            <x v="7"/>
          </reference>
          <reference field="2" count="1" selected="0">
            <x v="0"/>
          </reference>
        </references>
      </pivotArea>
    </format>
    <format dxfId="250">
      <pivotArea collapsedLevelsAreSubtotals="1" fieldPosition="0">
        <references count="2">
          <reference field="1" count="1">
            <x v="8"/>
          </reference>
          <reference field="2" count="1" selected="0">
            <x v="0"/>
          </reference>
        </references>
      </pivotArea>
    </format>
    <format dxfId="249">
      <pivotArea collapsedLevelsAreSubtotals="1" fieldPosition="0">
        <references count="2">
          <reference field="1" count="1">
            <x v="9"/>
          </reference>
          <reference field="2" count="1" selected="0">
            <x v="0"/>
          </reference>
        </references>
      </pivotArea>
    </format>
    <format dxfId="248">
      <pivotArea collapsedLevelsAreSubtotals="1" fieldPosition="0">
        <references count="2">
          <reference field="1" count="1">
            <x v="10"/>
          </reference>
          <reference field="2" count="1" selected="0">
            <x v="0"/>
          </reference>
        </references>
      </pivotArea>
    </format>
    <format dxfId="247">
      <pivotArea collapsedLevelsAreSubtotals="1" fieldPosition="0">
        <references count="2">
          <reference field="1" count="1">
            <x v="11"/>
          </reference>
          <reference field="2" count="1" selected="0">
            <x v="0"/>
          </reference>
        </references>
      </pivotArea>
    </format>
    <format dxfId="246">
      <pivotArea collapsedLevelsAreSubtotals="1" fieldPosition="0">
        <references count="2">
          <reference field="1" count="1">
            <x v="12"/>
          </reference>
          <reference field="2" count="1" selected="0">
            <x v="0"/>
          </reference>
        </references>
      </pivotArea>
    </format>
    <format dxfId="245">
      <pivotArea collapsedLevelsAreSubtotals="1" fieldPosition="0">
        <references count="2">
          <reference field="1" count="1">
            <x v="13"/>
          </reference>
          <reference field="2" count="1" selected="0">
            <x v="0"/>
          </reference>
        </references>
      </pivotArea>
    </format>
    <format dxfId="244">
      <pivotArea collapsedLevelsAreSubtotals="1" fieldPosition="0">
        <references count="2">
          <reference field="1" count="1">
            <x v="303"/>
          </reference>
          <reference field="2" count="1" selected="0">
            <x v="0"/>
          </reference>
        </references>
      </pivotArea>
    </format>
    <format dxfId="243">
      <pivotArea collapsedLevelsAreSubtotals="1" fieldPosition="0">
        <references count="2">
          <reference field="1" count="1">
            <x v="14"/>
          </reference>
          <reference field="2" count="1" selected="0">
            <x v="0"/>
          </reference>
        </references>
      </pivotArea>
    </format>
    <format dxfId="242">
      <pivotArea collapsedLevelsAreSubtotals="1" fieldPosition="0">
        <references count="2">
          <reference field="1" count="1">
            <x v="15"/>
          </reference>
          <reference field="2" count="1" selected="0">
            <x v="0"/>
          </reference>
        </references>
      </pivotArea>
    </format>
    <format dxfId="241">
      <pivotArea collapsedLevelsAreSubtotals="1" fieldPosition="0">
        <references count="2">
          <reference field="1" count="1">
            <x v="16"/>
          </reference>
          <reference field="2" count="1" selected="0">
            <x v="0"/>
          </reference>
        </references>
      </pivotArea>
    </format>
    <format dxfId="240">
      <pivotArea collapsedLevelsAreSubtotals="1" fieldPosition="0">
        <references count="2">
          <reference field="1" count="1">
            <x v="17"/>
          </reference>
          <reference field="2" count="1" selected="0">
            <x v="0"/>
          </reference>
        </references>
      </pivotArea>
    </format>
    <format dxfId="239">
      <pivotArea collapsedLevelsAreSubtotals="1" fieldPosition="0">
        <references count="2">
          <reference field="1" count="1">
            <x v="18"/>
          </reference>
          <reference field="2" count="1" selected="0">
            <x v="0"/>
          </reference>
        </references>
      </pivotArea>
    </format>
    <format dxfId="238">
      <pivotArea collapsedLevelsAreSubtotals="1" fieldPosition="0">
        <references count="2">
          <reference field="1" count="1">
            <x v="19"/>
          </reference>
          <reference field="2" count="1" selected="0">
            <x v="0"/>
          </reference>
        </references>
      </pivotArea>
    </format>
    <format dxfId="237">
      <pivotArea collapsedLevelsAreSubtotals="1" fieldPosition="0">
        <references count="2">
          <reference field="1" count="1">
            <x v="20"/>
          </reference>
          <reference field="2" count="1" selected="0">
            <x v="0"/>
          </reference>
        </references>
      </pivotArea>
    </format>
    <format dxfId="236">
      <pivotArea collapsedLevelsAreSubtotals="1" fieldPosition="0">
        <references count="2">
          <reference field="1" count="1">
            <x v="21"/>
          </reference>
          <reference field="2" count="1" selected="0">
            <x v="0"/>
          </reference>
        </references>
      </pivotArea>
    </format>
    <format dxfId="235">
      <pivotArea collapsedLevelsAreSubtotals="1" fieldPosition="0">
        <references count="2">
          <reference field="1" count="1">
            <x v="22"/>
          </reference>
          <reference field="2" count="1" selected="0">
            <x v="0"/>
          </reference>
        </references>
      </pivotArea>
    </format>
    <format dxfId="234">
      <pivotArea collapsedLevelsAreSubtotals="1" fieldPosition="0">
        <references count="2">
          <reference field="1" count="1">
            <x v="23"/>
          </reference>
          <reference field="2" count="1" selected="0">
            <x v="0"/>
          </reference>
        </references>
      </pivotArea>
    </format>
    <format dxfId="233">
      <pivotArea collapsedLevelsAreSubtotals="1" fieldPosition="0">
        <references count="2">
          <reference field="1" count="1">
            <x v="24"/>
          </reference>
          <reference field="2" count="1" selected="0">
            <x v="0"/>
          </reference>
        </references>
      </pivotArea>
    </format>
    <format dxfId="232">
      <pivotArea collapsedLevelsAreSubtotals="1" fieldPosition="0">
        <references count="2">
          <reference field="1" count="1">
            <x v="25"/>
          </reference>
          <reference field="2" count="1" selected="0">
            <x v="0"/>
          </reference>
        </references>
      </pivotArea>
    </format>
    <format dxfId="231">
      <pivotArea collapsedLevelsAreSubtotals="1" fieldPosition="0">
        <references count="2">
          <reference field="1" count="1">
            <x v="26"/>
          </reference>
          <reference field="2" count="1" selected="0">
            <x v="0"/>
          </reference>
        </references>
      </pivotArea>
    </format>
    <format dxfId="230">
      <pivotArea collapsedLevelsAreSubtotals="1" fieldPosition="0">
        <references count="2">
          <reference field="1" count="1">
            <x v="27"/>
          </reference>
          <reference field="2" count="1" selected="0">
            <x v="0"/>
          </reference>
        </references>
      </pivotArea>
    </format>
    <format dxfId="229">
      <pivotArea collapsedLevelsAreSubtotals="1" fieldPosition="0">
        <references count="2">
          <reference field="1" count="1">
            <x v="28"/>
          </reference>
          <reference field="2" count="1" selected="0">
            <x v="0"/>
          </reference>
        </references>
      </pivotArea>
    </format>
    <format dxfId="228">
      <pivotArea collapsedLevelsAreSubtotals="1" fieldPosition="0">
        <references count="2">
          <reference field="1" count="1">
            <x v="29"/>
          </reference>
          <reference field="2" count="1" selected="0">
            <x v="0"/>
          </reference>
        </references>
      </pivotArea>
    </format>
    <format dxfId="227">
      <pivotArea collapsedLevelsAreSubtotals="1" fieldPosition="0">
        <references count="1">
          <reference field="2" count="1">
            <x v="5"/>
          </reference>
        </references>
      </pivotArea>
    </format>
    <format dxfId="226">
      <pivotArea collapsedLevelsAreSubtotals="1" fieldPosition="0">
        <references count="2">
          <reference field="1" count="1">
            <x v="148"/>
          </reference>
          <reference field="2" count="1" selected="0">
            <x v="5"/>
          </reference>
        </references>
      </pivotArea>
    </format>
    <format dxfId="225">
      <pivotArea collapsedLevelsAreSubtotals="1" fieldPosition="0">
        <references count="2">
          <reference field="1" count="1">
            <x v="149"/>
          </reference>
          <reference field="2" count="1" selected="0">
            <x v="5"/>
          </reference>
        </references>
      </pivotArea>
    </format>
    <format dxfId="224">
      <pivotArea collapsedLevelsAreSubtotals="1" fieldPosition="0">
        <references count="2">
          <reference field="1" count="1">
            <x v="150"/>
          </reference>
          <reference field="2" count="1" selected="0">
            <x v="5"/>
          </reference>
        </references>
      </pivotArea>
    </format>
    <format dxfId="223">
      <pivotArea collapsedLevelsAreSubtotals="1" fieldPosition="0">
        <references count="2">
          <reference field="1" count="1">
            <x v="151"/>
          </reference>
          <reference field="2" count="1" selected="0">
            <x v="5"/>
          </reference>
        </references>
      </pivotArea>
    </format>
    <format dxfId="222">
      <pivotArea collapsedLevelsAreSubtotals="1" fieldPosition="0">
        <references count="2">
          <reference field="1" count="1">
            <x v="152"/>
          </reference>
          <reference field="2" count="1" selected="0">
            <x v="5"/>
          </reference>
        </references>
      </pivotArea>
    </format>
    <format dxfId="221">
      <pivotArea collapsedLevelsAreSubtotals="1" fieldPosition="0">
        <references count="2">
          <reference field="1" count="1">
            <x v="153"/>
          </reference>
          <reference field="2" count="1" selected="0">
            <x v="5"/>
          </reference>
        </references>
      </pivotArea>
    </format>
    <format dxfId="220">
      <pivotArea collapsedLevelsAreSubtotals="1" fieldPosition="0">
        <references count="2">
          <reference field="1" count="1">
            <x v="154"/>
          </reference>
          <reference field="2" count="1" selected="0">
            <x v="5"/>
          </reference>
        </references>
      </pivotArea>
    </format>
    <format dxfId="219">
      <pivotArea collapsedLevelsAreSubtotals="1" fieldPosition="0">
        <references count="2">
          <reference field="1" count="1">
            <x v="155"/>
          </reference>
          <reference field="2" count="1" selected="0">
            <x v="5"/>
          </reference>
        </references>
      </pivotArea>
    </format>
    <format dxfId="218">
      <pivotArea collapsedLevelsAreSubtotals="1" fieldPosition="0">
        <references count="2">
          <reference field="1" count="1">
            <x v="156"/>
          </reference>
          <reference field="2" count="1" selected="0">
            <x v="5"/>
          </reference>
        </references>
      </pivotArea>
    </format>
    <format dxfId="217">
      <pivotArea collapsedLevelsAreSubtotals="1" fieldPosition="0">
        <references count="2">
          <reference field="1" count="1">
            <x v="157"/>
          </reference>
          <reference field="2" count="1" selected="0">
            <x v="5"/>
          </reference>
        </references>
      </pivotArea>
    </format>
    <format dxfId="216">
      <pivotArea collapsedLevelsAreSubtotals="1" fieldPosition="0">
        <references count="2">
          <reference field="1" count="1">
            <x v="158"/>
          </reference>
          <reference field="2" count="1" selected="0">
            <x v="5"/>
          </reference>
        </references>
      </pivotArea>
    </format>
    <format dxfId="215">
      <pivotArea collapsedLevelsAreSubtotals="1" fieldPosition="0">
        <references count="2">
          <reference field="1" count="1">
            <x v="159"/>
          </reference>
          <reference field="2" count="1" selected="0">
            <x v="5"/>
          </reference>
        </references>
      </pivotArea>
    </format>
    <format dxfId="214">
      <pivotArea collapsedLevelsAreSubtotals="1" fieldPosition="0">
        <references count="2">
          <reference field="1" count="1">
            <x v="160"/>
          </reference>
          <reference field="2" count="1" selected="0">
            <x v="5"/>
          </reference>
        </references>
      </pivotArea>
    </format>
    <format dxfId="213">
      <pivotArea collapsedLevelsAreSubtotals="1" fieldPosition="0">
        <references count="2">
          <reference field="1" count="1">
            <x v="161"/>
          </reference>
          <reference field="2" count="1" selected="0">
            <x v="5"/>
          </reference>
        </references>
      </pivotArea>
    </format>
    <format dxfId="212">
      <pivotArea collapsedLevelsAreSubtotals="1" fieldPosition="0">
        <references count="2">
          <reference field="1" count="1">
            <x v="162"/>
          </reference>
          <reference field="2" count="1" selected="0">
            <x v="5"/>
          </reference>
        </references>
      </pivotArea>
    </format>
    <format dxfId="211">
      <pivotArea collapsedLevelsAreSubtotals="1" fieldPosition="0">
        <references count="2">
          <reference field="1" count="1">
            <x v="163"/>
          </reference>
          <reference field="2" count="1" selected="0">
            <x v="5"/>
          </reference>
        </references>
      </pivotArea>
    </format>
    <format dxfId="210">
      <pivotArea collapsedLevelsAreSubtotals="1" fieldPosition="0">
        <references count="2">
          <reference field="1" count="1">
            <x v="164"/>
          </reference>
          <reference field="2" count="1" selected="0">
            <x v="5"/>
          </reference>
        </references>
      </pivotArea>
    </format>
    <format dxfId="209">
      <pivotArea collapsedLevelsAreSubtotals="1" fieldPosition="0">
        <references count="2">
          <reference field="1" count="1">
            <x v="165"/>
          </reference>
          <reference field="2" count="1" selected="0">
            <x v="5"/>
          </reference>
        </references>
      </pivotArea>
    </format>
    <format dxfId="208">
      <pivotArea collapsedLevelsAreSubtotals="1" fieldPosition="0">
        <references count="2">
          <reference field="1" count="1">
            <x v="166"/>
          </reference>
          <reference field="2" count="1" selected="0">
            <x v="5"/>
          </reference>
        </references>
      </pivotArea>
    </format>
    <format dxfId="207">
      <pivotArea collapsedLevelsAreSubtotals="1" fieldPosition="0">
        <references count="2">
          <reference field="1" count="1">
            <x v="167"/>
          </reference>
          <reference field="2" count="1" selected="0">
            <x v="5"/>
          </reference>
        </references>
      </pivotArea>
    </format>
    <format dxfId="206">
      <pivotArea collapsedLevelsAreSubtotals="1" fieldPosition="0">
        <references count="2">
          <reference field="1" count="1">
            <x v="168"/>
          </reference>
          <reference field="2" count="1" selected="0">
            <x v="5"/>
          </reference>
        </references>
      </pivotArea>
    </format>
    <format dxfId="205">
      <pivotArea collapsedLevelsAreSubtotals="1" fieldPosition="0">
        <references count="2">
          <reference field="1" count="1">
            <x v="169"/>
          </reference>
          <reference field="2" count="1" selected="0">
            <x v="5"/>
          </reference>
        </references>
      </pivotArea>
    </format>
    <format dxfId="204">
      <pivotArea collapsedLevelsAreSubtotals="1" fieldPosition="0">
        <references count="2">
          <reference field="1" count="1">
            <x v="170"/>
          </reference>
          <reference field="2" count="1" selected="0">
            <x v="5"/>
          </reference>
        </references>
      </pivotArea>
    </format>
    <format dxfId="203">
      <pivotArea collapsedLevelsAreSubtotals="1" fieldPosition="0">
        <references count="2">
          <reference field="1" count="1">
            <x v="171"/>
          </reference>
          <reference field="2" count="1" selected="0">
            <x v="5"/>
          </reference>
        </references>
      </pivotArea>
    </format>
    <format dxfId="202">
      <pivotArea collapsedLevelsAreSubtotals="1" fieldPosition="0">
        <references count="2">
          <reference field="1" count="1">
            <x v="172"/>
          </reference>
          <reference field="2" count="1" selected="0">
            <x v="5"/>
          </reference>
        </references>
      </pivotArea>
    </format>
    <format dxfId="201">
      <pivotArea collapsedLevelsAreSubtotals="1" fieldPosition="0">
        <references count="2">
          <reference field="1" count="1">
            <x v="173"/>
          </reference>
          <reference field="2" count="1" selected="0">
            <x v="5"/>
          </reference>
        </references>
      </pivotArea>
    </format>
    <format dxfId="200">
      <pivotArea collapsedLevelsAreSubtotals="1" fieldPosition="0">
        <references count="2">
          <reference field="1" count="1">
            <x v="174"/>
          </reference>
          <reference field="2" count="1" selected="0">
            <x v="5"/>
          </reference>
        </references>
      </pivotArea>
    </format>
    <format dxfId="199">
      <pivotArea collapsedLevelsAreSubtotals="1" fieldPosition="0">
        <references count="2">
          <reference field="1" count="1">
            <x v="175"/>
          </reference>
          <reference field="2" count="1" selected="0">
            <x v="5"/>
          </reference>
        </references>
      </pivotArea>
    </format>
    <format dxfId="198">
      <pivotArea collapsedLevelsAreSubtotals="1" fieldPosition="0">
        <references count="2">
          <reference field="1" count="1">
            <x v="176"/>
          </reference>
          <reference field="2" count="1" selected="0">
            <x v="5"/>
          </reference>
        </references>
      </pivotArea>
    </format>
    <format dxfId="197">
      <pivotArea collapsedLevelsAreSubtotals="1" fieldPosition="0">
        <references count="2">
          <reference field="1" count="1">
            <x v="177"/>
          </reference>
          <reference field="2" count="1" selected="0">
            <x v="5"/>
          </reference>
        </references>
      </pivotArea>
    </format>
    <format dxfId="196">
      <pivotArea collapsedLevelsAreSubtotals="1" fieldPosition="0">
        <references count="1">
          <reference field="2" count="1">
            <x v="3"/>
          </reference>
        </references>
      </pivotArea>
    </format>
    <format dxfId="195">
      <pivotArea collapsedLevelsAreSubtotals="1" fieldPosition="0">
        <references count="2">
          <reference field="1" count="1">
            <x v="90"/>
          </reference>
          <reference field="2" count="1" selected="0">
            <x v="3"/>
          </reference>
        </references>
      </pivotArea>
    </format>
    <format dxfId="194">
      <pivotArea collapsedLevelsAreSubtotals="1" fieldPosition="0">
        <references count="2">
          <reference field="1" count="1">
            <x v="91"/>
          </reference>
          <reference field="2" count="1" selected="0">
            <x v="3"/>
          </reference>
        </references>
      </pivotArea>
    </format>
    <format dxfId="193">
      <pivotArea collapsedLevelsAreSubtotals="1" fieldPosition="0">
        <references count="2">
          <reference field="1" count="1">
            <x v="92"/>
          </reference>
          <reference field="2" count="1" selected="0">
            <x v="3"/>
          </reference>
        </references>
      </pivotArea>
    </format>
    <format dxfId="192">
      <pivotArea collapsedLevelsAreSubtotals="1" fieldPosition="0">
        <references count="2">
          <reference field="1" count="1">
            <x v="93"/>
          </reference>
          <reference field="2" count="1" selected="0">
            <x v="3"/>
          </reference>
        </references>
      </pivotArea>
    </format>
    <format dxfId="191">
      <pivotArea collapsedLevelsAreSubtotals="1" fieldPosition="0">
        <references count="2">
          <reference field="1" count="1">
            <x v="94"/>
          </reference>
          <reference field="2" count="1" selected="0">
            <x v="3"/>
          </reference>
        </references>
      </pivotArea>
    </format>
    <format dxfId="190">
      <pivotArea collapsedLevelsAreSubtotals="1" fieldPosition="0">
        <references count="2">
          <reference field="1" count="1">
            <x v="95"/>
          </reference>
          <reference field="2" count="1" selected="0">
            <x v="3"/>
          </reference>
        </references>
      </pivotArea>
    </format>
    <format dxfId="189">
      <pivotArea collapsedLevelsAreSubtotals="1" fieldPosition="0">
        <references count="2">
          <reference field="1" count="1">
            <x v="96"/>
          </reference>
          <reference field="2" count="1" selected="0">
            <x v="3"/>
          </reference>
        </references>
      </pivotArea>
    </format>
    <format dxfId="188">
      <pivotArea collapsedLevelsAreSubtotals="1" fieldPosition="0">
        <references count="2">
          <reference field="1" count="1">
            <x v="97"/>
          </reference>
          <reference field="2" count="1" selected="0">
            <x v="3"/>
          </reference>
        </references>
      </pivotArea>
    </format>
    <format dxfId="187">
      <pivotArea collapsedLevelsAreSubtotals="1" fieldPosition="0">
        <references count="2">
          <reference field="1" count="1">
            <x v="98"/>
          </reference>
          <reference field="2" count="1" selected="0">
            <x v="3"/>
          </reference>
        </references>
      </pivotArea>
    </format>
    <format dxfId="186">
      <pivotArea collapsedLevelsAreSubtotals="1" fieldPosition="0">
        <references count="2">
          <reference field="1" count="1">
            <x v="99"/>
          </reference>
          <reference field="2" count="1" selected="0">
            <x v="3"/>
          </reference>
        </references>
      </pivotArea>
    </format>
    <format dxfId="185">
      <pivotArea collapsedLevelsAreSubtotals="1" fieldPosition="0">
        <references count="2">
          <reference field="1" count="1">
            <x v="100"/>
          </reference>
          <reference field="2" count="1" selected="0">
            <x v="3"/>
          </reference>
        </references>
      </pivotArea>
    </format>
    <format dxfId="184">
      <pivotArea collapsedLevelsAreSubtotals="1" fieldPosition="0">
        <references count="2">
          <reference field="1" count="1">
            <x v="101"/>
          </reference>
          <reference field="2" count="1" selected="0">
            <x v="3"/>
          </reference>
        </references>
      </pivotArea>
    </format>
    <format dxfId="183">
      <pivotArea collapsedLevelsAreSubtotals="1" fieldPosition="0">
        <references count="2">
          <reference field="1" count="1">
            <x v="102"/>
          </reference>
          <reference field="2" count="1" selected="0">
            <x v="3"/>
          </reference>
        </references>
      </pivotArea>
    </format>
    <format dxfId="182">
      <pivotArea collapsedLevelsAreSubtotals="1" fieldPosition="0">
        <references count="2">
          <reference field="1" count="1">
            <x v="103"/>
          </reference>
          <reference field="2" count="1" selected="0">
            <x v="3"/>
          </reference>
        </references>
      </pivotArea>
    </format>
    <format dxfId="181">
      <pivotArea collapsedLevelsAreSubtotals="1" fieldPosition="0">
        <references count="2">
          <reference field="1" count="1">
            <x v="104"/>
          </reference>
          <reference field="2" count="1" selected="0">
            <x v="3"/>
          </reference>
        </references>
      </pivotArea>
    </format>
    <format dxfId="180">
      <pivotArea collapsedLevelsAreSubtotals="1" fieldPosition="0">
        <references count="2">
          <reference field="1" count="1">
            <x v="105"/>
          </reference>
          <reference field="2" count="1" selected="0">
            <x v="3"/>
          </reference>
        </references>
      </pivotArea>
    </format>
    <format dxfId="179">
      <pivotArea collapsedLevelsAreSubtotals="1" fieldPosition="0">
        <references count="2">
          <reference field="1" count="1">
            <x v="106"/>
          </reference>
          <reference field="2" count="1" selected="0">
            <x v="3"/>
          </reference>
        </references>
      </pivotArea>
    </format>
    <format dxfId="178">
      <pivotArea collapsedLevelsAreSubtotals="1" fieldPosition="0">
        <references count="2">
          <reference field="1" count="1">
            <x v="107"/>
          </reference>
          <reference field="2" count="1" selected="0">
            <x v="3"/>
          </reference>
        </references>
      </pivotArea>
    </format>
    <format dxfId="177">
      <pivotArea collapsedLevelsAreSubtotals="1" fieldPosition="0">
        <references count="2">
          <reference field="1" count="1">
            <x v="108"/>
          </reference>
          <reference field="2" count="1" selected="0">
            <x v="3"/>
          </reference>
        </references>
      </pivotArea>
    </format>
    <format dxfId="176">
      <pivotArea collapsedLevelsAreSubtotals="1" fieldPosition="0">
        <references count="2">
          <reference field="1" count="1">
            <x v="109"/>
          </reference>
          <reference field="2" count="1" selected="0">
            <x v="3"/>
          </reference>
        </references>
      </pivotArea>
    </format>
    <format dxfId="175">
      <pivotArea collapsedLevelsAreSubtotals="1" fieldPosition="0">
        <references count="2">
          <reference field="1" count="1">
            <x v="110"/>
          </reference>
          <reference field="2" count="1" selected="0">
            <x v="3"/>
          </reference>
        </references>
      </pivotArea>
    </format>
    <format dxfId="174">
      <pivotArea collapsedLevelsAreSubtotals="1" fieldPosition="0">
        <references count="2">
          <reference field="1" count="1">
            <x v="111"/>
          </reference>
          <reference field="2" count="1" selected="0">
            <x v="3"/>
          </reference>
        </references>
      </pivotArea>
    </format>
    <format dxfId="173">
      <pivotArea collapsedLevelsAreSubtotals="1" fieldPosition="0">
        <references count="2">
          <reference field="1" count="1">
            <x v="112"/>
          </reference>
          <reference field="2" count="1" selected="0">
            <x v="3"/>
          </reference>
        </references>
      </pivotArea>
    </format>
    <format dxfId="172">
      <pivotArea collapsedLevelsAreSubtotals="1" fieldPosition="0">
        <references count="2">
          <reference field="1" count="1">
            <x v="113"/>
          </reference>
          <reference field="2" count="1" selected="0">
            <x v="3"/>
          </reference>
        </references>
      </pivotArea>
    </format>
    <format dxfId="171">
      <pivotArea collapsedLevelsAreSubtotals="1" fieldPosition="0">
        <references count="2">
          <reference field="1" count="1">
            <x v="114"/>
          </reference>
          <reference field="2" count="1" selected="0">
            <x v="3"/>
          </reference>
        </references>
      </pivotArea>
    </format>
    <format dxfId="170">
      <pivotArea collapsedLevelsAreSubtotals="1" fieldPosition="0">
        <references count="2">
          <reference field="1" count="1">
            <x v="115"/>
          </reference>
          <reference field="2" count="1" selected="0">
            <x v="3"/>
          </reference>
        </references>
      </pivotArea>
    </format>
    <format dxfId="169">
      <pivotArea collapsedLevelsAreSubtotals="1" fieldPosition="0">
        <references count="2">
          <reference field="1" count="1">
            <x v="116"/>
          </reference>
          <reference field="2" count="1" selected="0">
            <x v="3"/>
          </reference>
        </references>
      </pivotArea>
    </format>
    <format dxfId="168">
      <pivotArea collapsedLevelsAreSubtotals="1" fieldPosition="0">
        <references count="2">
          <reference field="1" count="1">
            <x v="117"/>
          </reference>
          <reference field="2" count="1" selected="0">
            <x v="3"/>
          </reference>
        </references>
      </pivotArea>
    </format>
    <format dxfId="167">
      <pivotArea collapsedLevelsAreSubtotals="1" fieldPosition="0">
        <references count="2">
          <reference field="1" count="1">
            <x v="118"/>
          </reference>
          <reference field="2" count="1" selected="0">
            <x v="3"/>
          </reference>
        </references>
      </pivotArea>
    </format>
    <format dxfId="166">
      <pivotArea collapsedLevelsAreSubtotals="1" fieldPosition="0">
        <references count="2">
          <reference field="1" count="1">
            <x v="119"/>
          </reference>
          <reference field="2" count="1" selected="0">
            <x v="3"/>
          </reference>
        </references>
      </pivotArea>
    </format>
    <format dxfId="165">
      <pivotArea collapsedLevelsAreSubtotals="1" fieldPosition="0">
        <references count="2">
          <reference field="1" count="1">
            <x v="120"/>
          </reference>
          <reference field="2" count="1" selected="0">
            <x v="3"/>
          </reference>
        </references>
      </pivotArea>
    </format>
    <format dxfId="164">
      <pivotArea collapsedLevelsAreSubtotals="1" fieldPosition="0">
        <references count="1">
          <reference field="2" count="1">
            <x v="2"/>
          </reference>
        </references>
      </pivotArea>
    </format>
    <format dxfId="163">
      <pivotArea collapsedLevelsAreSubtotals="1" fieldPosition="0">
        <references count="2">
          <reference field="1" count="1">
            <x v="60"/>
          </reference>
          <reference field="2" count="1" selected="0">
            <x v="2"/>
          </reference>
        </references>
      </pivotArea>
    </format>
    <format dxfId="162">
      <pivotArea collapsedLevelsAreSubtotals="1" fieldPosition="0">
        <references count="2">
          <reference field="1" count="1">
            <x v="61"/>
          </reference>
          <reference field="2" count="1" selected="0">
            <x v="2"/>
          </reference>
        </references>
      </pivotArea>
    </format>
    <format dxfId="161">
      <pivotArea collapsedLevelsAreSubtotals="1" fieldPosition="0">
        <references count="2">
          <reference field="1" count="1">
            <x v="62"/>
          </reference>
          <reference field="2" count="1" selected="0">
            <x v="2"/>
          </reference>
        </references>
      </pivotArea>
    </format>
    <format dxfId="160">
      <pivotArea collapsedLevelsAreSubtotals="1" fieldPosition="0">
        <references count="2">
          <reference field="1" count="1">
            <x v="63"/>
          </reference>
          <reference field="2" count="1" selected="0">
            <x v="2"/>
          </reference>
        </references>
      </pivotArea>
    </format>
    <format dxfId="159">
      <pivotArea collapsedLevelsAreSubtotals="1" fieldPosition="0">
        <references count="2">
          <reference field="1" count="1">
            <x v="64"/>
          </reference>
          <reference field="2" count="1" selected="0">
            <x v="2"/>
          </reference>
        </references>
      </pivotArea>
    </format>
    <format dxfId="158">
      <pivotArea collapsedLevelsAreSubtotals="1" fieldPosition="0">
        <references count="2">
          <reference field="1" count="1">
            <x v="65"/>
          </reference>
          <reference field="2" count="1" selected="0">
            <x v="2"/>
          </reference>
        </references>
      </pivotArea>
    </format>
    <format dxfId="157">
      <pivotArea collapsedLevelsAreSubtotals="1" fieldPosition="0">
        <references count="2">
          <reference field="1" count="1">
            <x v="302"/>
          </reference>
          <reference field="2" count="1" selected="0">
            <x v="2"/>
          </reference>
        </references>
      </pivotArea>
    </format>
    <format dxfId="156">
      <pivotArea collapsedLevelsAreSubtotals="1" fieldPosition="0">
        <references count="2">
          <reference field="1" count="1">
            <x v="66"/>
          </reference>
          <reference field="2" count="1" selected="0">
            <x v="2"/>
          </reference>
        </references>
      </pivotArea>
    </format>
    <format dxfId="155">
      <pivotArea collapsedLevelsAreSubtotals="1" fieldPosition="0">
        <references count="2">
          <reference field="1" count="1">
            <x v="67"/>
          </reference>
          <reference field="2" count="1" selected="0">
            <x v="2"/>
          </reference>
        </references>
      </pivotArea>
    </format>
    <format dxfId="154">
      <pivotArea collapsedLevelsAreSubtotals="1" fieldPosition="0">
        <references count="2">
          <reference field="1" count="1">
            <x v="68"/>
          </reference>
          <reference field="2" count="1" selected="0">
            <x v="2"/>
          </reference>
        </references>
      </pivotArea>
    </format>
    <format dxfId="153">
      <pivotArea collapsedLevelsAreSubtotals="1" fieldPosition="0">
        <references count="2">
          <reference field="1" count="1">
            <x v="69"/>
          </reference>
          <reference field="2" count="1" selected="0">
            <x v="2"/>
          </reference>
        </references>
      </pivotArea>
    </format>
    <format dxfId="152">
      <pivotArea collapsedLevelsAreSubtotals="1" fieldPosition="0">
        <references count="2">
          <reference field="1" count="1">
            <x v="70"/>
          </reference>
          <reference field="2" count="1" selected="0">
            <x v="2"/>
          </reference>
        </references>
      </pivotArea>
    </format>
    <format dxfId="151">
      <pivotArea collapsedLevelsAreSubtotals="1" fieldPosition="0">
        <references count="2">
          <reference field="1" count="1">
            <x v="71"/>
          </reference>
          <reference field="2" count="1" selected="0">
            <x v="2"/>
          </reference>
        </references>
      </pivotArea>
    </format>
    <format dxfId="150">
      <pivotArea collapsedLevelsAreSubtotals="1" fieldPosition="0">
        <references count="2">
          <reference field="1" count="1">
            <x v="72"/>
          </reference>
          <reference field="2" count="1" selected="0">
            <x v="2"/>
          </reference>
        </references>
      </pivotArea>
    </format>
    <format dxfId="149">
      <pivotArea collapsedLevelsAreSubtotals="1" fieldPosition="0">
        <references count="2">
          <reference field="1" count="1">
            <x v="73"/>
          </reference>
          <reference field="2" count="1" selected="0">
            <x v="2"/>
          </reference>
        </references>
      </pivotArea>
    </format>
    <format dxfId="148">
      <pivotArea collapsedLevelsAreSubtotals="1" fieldPosition="0">
        <references count="2">
          <reference field="1" count="1">
            <x v="74"/>
          </reference>
          <reference field="2" count="1" selected="0">
            <x v="2"/>
          </reference>
        </references>
      </pivotArea>
    </format>
    <format dxfId="147">
      <pivotArea collapsedLevelsAreSubtotals="1" fieldPosition="0">
        <references count="2">
          <reference field="1" count="1">
            <x v="75"/>
          </reference>
          <reference field="2" count="1" selected="0">
            <x v="2"/>
          </reference>
        </references>
      </pivotArea>
    </format>
    <format dxfId="146">
      <pivotArea collapsedLevelsAreSubtotals="1" fieldPosition="0">
        <references count="2">
          <reference field="1" count="1">
            <x v="76"/>
          </reference>
          <reference field="2" count="1" selected="0">
            <x v="2"/>
          </reference>
        </references>
      </pivotArea>
    </format>
    <format dxfId="145">
      <pivotArea collapsedLevelsAreSubtotals="1" fieldPosition="0">
        <references count="2">
          <reference field="1" count="1">
            <x v="77"/>
          </reference>
          <reference field="2" count="1" selected="0">
            <x v="2"/>
          </reference>
        </references>
      </pivotArea>
    </format>
    <format dxfId="144">
      <pivotArea collapsedLevelsAreSubtotals="1" fieldPosition="0">
        <references count="2">
          <reference field="1" count="1">
            <x v="78"/>
          </reference>
          <reference field="2" count="1" selected="0">
            <x v="2"/>
          </reference>
        </references>
      </pivotArea>
    </format>
    <format dxfId="143">
      <pivotArea collapsedLevelsAreSubtotals="1" fieldPosition="0">
        <references count="2">
          <reference field="1" count="1">
            <x v="79"/>
          </reference>
          <reference field="2" count="1" selected="0">
            <x v="2"/>
          </reference>
        </references>
      </pivotArea>
    </format>
    <format dxfId="142">
      <pivotArea collapsedLevelsAreSubtotals="1" fieldPosition="0">
        <references count="2">
          <reference field="1" count="1">
            <x v="80"/>
          </reference>
          <reference field="2" count="1" selected="0">
            <x v="2"/>
          </reference>
        </references>
      </pivotArea>
    </format>
    <format dxfId="141">
      <pivotArea collapsedLevelsAreSubtotals="1" fieldPosition="0">
        <references count="2">
          <reference field="1" count="1">
            <x v="81"/>
          </reference>
          <reference field="2" count="1" selected="0">
            <x v="2"/>
          </reference>
        </references>
      </pivotArea>
    </format>
    <format dxfId="140">
      <pivotArea collapsedLevelsAreSubtotals="1" fieldPosition="0">
        <references count="2">
          <reference field="1" count="1">
            <x v="82"/>
          </reference>
          <reference field="2" count="1" selected="0">
            <x v="2"/>
          </reference>
        </references>
      </pivotArea>
    </format>
    <format dxfId="139">
      <pivotArea collapsedLevelsAreSubtotals="1" fieldPosition="0">
        <references count="2">
          <reference field="1" count="1">
            <x v="83"/>
          </reference>
          <reference field="2" count="1" selected="0">
            <x v="2"/>
          </reference>
        </references>
      </pivotArea>
    </format>
    <format dxfId="138">
      <pivotArea collapsedLevelsAreSubtotals="1" fieldPosition="0">
        <references count="2">
          <reference field="1" count="1">
            <x v="84"/>
          </reference>
          <reference field="2" count="1" selected="0">
            <x v="2"/>
          </reference>
        </references>
      </pivotArea>
    </format>
    <format dxfId="137">
      <pivotArea collapsedLevelsAreSubtotals="1" fieldPosition="0">
        <references count="2">
          <reference field="1" count="1">
            <x v="85"/>
          </reference>
          <reference field="2" count="1" selected="0">
            <x v="2"/>
          </reference>
        </references>
      </pivotArea>
    </format>
    <format dxfId="136">
      <pivotArea collapsedLevelsAreSubtotals="1" fieldPosition="0">
        <references count="2">
          <reference field="1" count="1">
            <x v="86"/>
          </reference>
          <reference field="2" count="1" selected="0">
            <x v="2"/>
          </reference>
        </references>
      </pivotArea>
    </format>
    <format dxfId="135">
      <pivotArea collapsedLevelsAreSubtotals="1" fieldPosition="0">
        <references count="2">
          <reference field="1" count="1">
            <x v="87"/>
          </reference>
          <reference field="2" count="1" selected="0">
            <x v="2"/>
          </reference>
        </references>
      </pivotArea>
    </format>
    <format dxfId="134">
      <pivotArea collapsedLevelsAreSubtotals="1" fieldPosition="0">
        <references count="2">
          <reference field="1" count="1">
            <x v="88"/>
          </reference>
          <reference field="2" count="1" selected="0">
            <x v="2"/>
          </reference>
        </references>
      </pivotArea>
    </format>
    <format dxfId="133">
      <pivotArea collapsedLevelsAreSubtotals="1" fieldPosition="0">
        <references count="2">
          <reference field="1" count="1">
            <x v="89"/>
          </reference>
          <reference field="2" count="1" selected="0">
            <x v="2"/>
          </reference>
        </references>
      </pivotArea>
    </format>
    <format dxfId="132">
      <pivotArea collapsedLevelsAreSubtotals="1" fieldPosition="0">
        <references count="1">
          <reference field="2" count="1">
            <x v="1"/>
          </reference>
        </references>
      </pivotArea>
    </format>
    <format dxfId="131">
      <pivotArea collapsedLevelsAreSubtotals="1" fieldPosition="0">
        <references count="2">
          <reference field="1" count="1">
            <x v="30"/>
          </reference>
          <reference field="2" count="1" selected="0">
            <x v="1"/>
          </reference>
        </references>
      </pivotArea>
    </format>
    <format dxfId="130">
      <pivotArea collapsedLevelsAreSubtotals="1" fieldPosition="0">
        <references count="2">
          <reference field="1" count="1">
            <x v="31"/>
          </reference>
          <reference field="2" count="1" selected="0">
            <x v="1"/>
          </reference>
        </references>
      </pivotArea>
    </format>
    <format dxfId="129">
      <pivotArea collapsedLevelsAreSubtotals="1" fieldPosition="0">
        <references count="2">
          <reference field="1" count="1">
            <x v="32"/>
          </reference>
          <reference field="2" count="1" selected="0">
            <x v="1"/>
          </reference>
        </references>
      </pivotArea>
    </format>
    <format dxfId="128">
      <pivotArea collapsedLevelsAreSubtotals="1" fieldPosition="0">
        <references count="2">
          <reference field="1" count="1">
            <x v="33"/>
          </reference>
          <reference field="2" count="1" selected="0">
            <x v="1"/>
          </reference>
        </references>
      </pivotArea>
    </format>
    <format dxfId="127">
      <pivotArea collapsedLevelsAreSubtotals="1" fieldPosition="0">
        <references count="2">
          <reference field="1" count="1">
            <x v="34"/>
          </reference>
          <reference field="2" count="1" selected="0">
            <x v="1"/>
          </reference>
        </references>
      </pivotArea>
    </format>
    <format dxfId="126">
      <pivotArea collapsedLevelsAreSubtotals="1" fieldPosition="0">
        <references count="2">
          <reference field="1" count="1">
            <x v="35"/>
          </reference>
          <reference field="2" count="1" selected="0">
            <x v="1"/>
          </reference>
        </references>
      </pivotArea>
    </format>
    <format dxfId="125">
      <pivotArea collapsedLevelsAreSubtotals="1" fieldPosition="0">
        <references count="2">
          <reference field="1" count="1">
            <x v="36"/>
          </reference>
          <reference field="2" count="1" selected="0">
            <x v="1"/>
          </reference>
        </references>
      </pivotArea>
    </format>
    <format dxfId="124">
      <pivotArea collapsedLevelsAreSubtotals="1" fieldPosition="0">
        <references count="2">
          <reference field="1" count="1">
            <x v="37"/>
          </reference>
          <reference field="2" count="1" selected="0">
            <x v="1"/>
          </reference>
        </references>
      </pivotArea>
    </format>
    <format dxfId="123">
      <pivotArea collapsedLevelsAreSubtotals="1" fieldPosition="0">
        <references count="2">
          <reference field="1" count="1">
            <x v="38"/>
          </reference>
          <reference field="2" count="1" selected="0">
            <x v="1"/>
          </reference>
        </references>
      </pivotArea>
    </format>
    <format dxfId="122">
      <pivotArea collapsedLevelsAreSubtotals="1" fieldPosition="0">
        <references count="2">
          <reference field="1" count="1">
            <x v="39"/>
          </reference>
          <reference field="2" count="1" selected="0">
            <x v="1"/>
          </reference>
        </references>
      </pivotArea>
    </format>
    <format dxfId="121">
      <pivotArea collapsedLevelsAreSubtotals="1" fieldPosition="0">
        <references count="2">
          <reference field="1" count="1">
            <x v="40"/>
          </reference>
          <reference field="2" count="1" selected="0">
            <x v="1"/>
          </reference>
        </references>
      </pivotArea>
    </format>
    <format dxfId="120">
      <pivotArea collapsedLevelsAreSubtotals="1" fieldPosition="0">
        <references count="2">
          <reference field="1" count="1">
            <x v="41"/>
          </reference>
          <reference field="2" count="1" selected="0">
            <x v="1"/>
          </reference>
        </references>
      </pivotArea>
    </format>
    <format dxfId="119">
      <pivotArea collapsedLevelsAreSubtotals="1" fieldPosition="0">
        <references count="2">
          <reference field="1" count="1">
            <x v="42"/>
          </reference>
          <reference field="2" count="1" selected="0">
            <x v="1"/>
          </reference>
        </references>
      </pivotArea>
    </format>
    <format dxfId="118">
      <pivotArea collapsedLevelsAreSubtotals="1" fieldPosition="0">
        <references count="2">
          <reference field="1" count="1">
            <x v="43"/>
          </reference>
          <reference field="2" count="1" selected="0">
            <x v="1"/>
          </reference>
        </references>
      </pivotArea>
    </format>
    <format dxfId="117">
      <pivotArea collapsedLevelsAreSubtotals="1" fieldPosition="0">
        <references count="2">
          <reference field="1" count="1">
            <x v="44"/>
          </reference>
          <reference field="2" count="1" selected="0">
            <x v="1"/>
          </reference>
        </references>
      </pivotArea>
    </format>
    <format dxfId="116">
      <pivotArea collapsedLevelsAreSubtotals="1" fieldPosition="0">
        <references count="2">
          <reference field="1" count="1">
            <x v="45"/>
          </reference>
          <reference field="2" count="1" selected="0">
            <x v="1"/>
          </reference>
        </references>
      </pivotArea>
    </format>
    <format dxfId="115">
      <pivotArea collapsedLevelsAreSubtotals="1" fieldPosition="0">
        <references count="2">
          <reference field="1" count="1">
            <x v="46"/>
          </reference>
          <reference field="2" count="1" selected="0">
            <x v="1"/>
          </reference>
        </references>
      </pivotArea>
    </format>
    <format dxfId="114">
      <pivotArea collapsedLevelsAreSubtotals="1" fieldPosition="0">
        <references count="2">
          <reference field="1" count="1">
            <x v="47"/>
          </reference>
          <reference field="2" count="1" selected="0">
            <x v="1"/>
          </reference>
        </references>
      </pivotArea>
    </format>
    <format dxfId="113">
      <pivotArea collapsedLevelsAreSubtotals="1" fieldPosition="0">
        <references count="2">
          <reference field="1" count="1">
            <x v="48"/>
          </reference>
          <reference field="2" count="1" selected="0">
            <x v="1"/>
          </reference>
        </references>
      </pivotArea>
    </format>
    <format dxfId="112">
      <pivotArea collapsedLevelsAreSubtotals="1" fieldPosition="0">
        <references count="2">
          <reference field="1" count="1">
            <x v="49"/>
          </reference>
          <reference field="2" count="1" selected="0">
            <x v="1"/>
          </reference>
        </references>
      </pivotArea>
    </format>
    <format dxfId="111">
      <pivotArea collapsedLevelsAreSubtotals="1" fieldPosition="0">
        <references count="2">
          <reference field="1" count="1">
            <x v="50"/>
          </reference>
          <reference field="2" count="1" selected="0">
            <x v="1"/>
          </reference>
        </references>
      </pivotArea>
    </format>
    <format dxfId="110">
      <pivotArea collapsedLevelsAreSubtotals="1" fieldPosition="0">
        <references count="2">
          <reference field="1" count="1">
            <x v="51"/>
          </reference>
          <reference field="2" count="1" selected="0">
            <x v="1"/>
          </reference>
        </references>
      </pivotArea>
    </format>
    <format dxfId="109">
      <pivotArea collapsedLevelsAreSubtotals="1" fieldPosition="0">
        <references count="2">
          <reference field="1" count="1">
            <x v="52"/>
          </reference>
          <reference field="2" count="1" selected="0">
            <x v="1"/>
          </reference>
        </references>
      </pivotArea>
    </format>
    <format dxfId="108">
      <pivotArea collapsedLevelsAreSubtotals="1" fieldPosition="0">
        <references count="2">
          <reference field="1" count="1">
            <x v="53"/>
          </reference>
          <reference field="2" count="1" selected="0">
            <x v="1"/>
          </reference>
        </references>
      </pivotArea>
    </format>
    <format dxfId="107">
      <pivotArea collapsedLevelsAreSubtotals="1" fieldPosition="0">
        <references count="2">
          <reference field="1" count="1">
            <x v="54"/>
          </reference>
          <reference field="2" count="1" selected="0">
            <x v="1"/>
          </reference>
        </references>
      </pivotArea>
    </format>
    <format dxfId="106">
      <pivotArea collapsedLevelsAreSubtotals="1" fieldPosition="0">
        <references count="2">
          <reference field="1" count="1">
            <x v="55"/>
          </reference>
          <reference field="2" count="1" selected="0">
            <x v="1"/>
          </reference>
        </references>
      </pivotArea>
    </format>
    <format dxfId="105">
      <pivotArea collapsedLevelsAreSubtotals="1" fieldPosition="0">
        <references count="2">
          <reference field="1" count="1">
            <x v="56"/>
          </reference>
          <reference field="2" count="1" selected="0">
            <x v="1"/>
          </reference>
        </references>
      </pivotArea>
    </format>
    <format dxfId="104">
      <pivotArea collapsedLevelsAreSubtotals="1" fieldPosition="0">
        <references count="2">
          <reference field="1" count="1">
            <x v="57"/>
          </reference>
          <reference field="2" count="1" selected="0">
            <x v="1"/>
          </reference>
        </references>
      </pivotArea>
    </format>
    <format dxfId="103">
      <pivotArea collapsedLevelsAreSubtotals="1" fieldPosition="0">
        <references count="2">
          <reference field="1" count="1">
            <x v="58"/>
          </reference>
          <reference field="2" count="1" selected="0">
            <x v="1"/>
          </reference>
        </references>
      </pivotArea>
    </format>
    <format dxfId="102">
      <pivotArea collapsedLevelsAreSubtotals="1" fieldPosition="0">
        <references count="2">
          <reference field="1" count="1">
            <x v="59"/>
          </reference>
          <reference field="2" count="1" selected="0">
            <x v="1"/>
          </reference>
        </references>
      </pivotArea>
    </format>
    <format dxfId="101">
      <pivotArea collapsedLevelsAreSubtotals="1" fieldPosition="0">
        <references count="1">
          <reference field="2" count="1">
            <x v="7"/>
          </reference>
        </references>
      </pivotArea>
    </format>
    <format dxfId="100">
      <pivotArea collapsedLevelsAreSubtotals="1" fieldPosition="0">
        <references count="2">
          <reference field="1" count="1">
            <x v="271"/>
          </reference>
          <reference field="2" count="1" selected="0">
            <x v="7"/>
          </reference>
        </references>
      </pivotArea>
    </format>
    <format dxfId="99">
      <pivotArea collapsedLevelsAreSubtotals="1" fieldPosition="0">
        <references count="2">
          <reference field="1" count="1">
            <x v="272"/>
          </reference>
          <reference field="2" count="1" selected="0">
            <x v="7"/>
          </reference>
        </references>
      </pivotArea>
    </format>
    <format dxfId="98">
      <pivotArea collapsedLevelsAreSubtotals="1" fieldPosition="0">
        <references count="2">
          <reference field="1" count="1">
            <x v="273"/>
          </reference>
          <reference field="2" count="1" selected="0">
            <x v="7"/>
          </reference>
        </references>
      </pivotArea>
    </format>
    <format dxfId="97">
      <pivotArea collapsedLevelsAreSubtotals="1" fieldPosition="0">
        <references count="2">
          <reference field="1" count="1">
            <x v="274"/>
          </reference>
          <reference field="2" count="1" selected="0">
            <x v="7"/>
          </reference>
        </references>
      </pivotArea>
    </format>
    <format dxfId="96">
      <pivotArea collapsedLevelsAreSubtotals="1" fieldPosition="0">
        <references count="2">
          <reference field="1" count="1">
            <x v="275"/>
          </reference>
          <reference field="2" count="1" selected="0">
            <x v="7"/>
          </reference>
        </references>
      </pivotArea>
    </format>
    <format dxfId="95">
      <pivotArea collapsedLevelsAreSubtotals="1" fieldPosition="0">
        <references count="2">
          <reference field="1" count="1">
            <x v="276"/>
          </reference>
          <reference field="2" count="1" selected="0">
            <x v="7"/>
          </reference>
        </references>
      </pivotArea>
    </format>
    <format dxfId="94">
      <pivotArea collapsedLevelsAreSubtotals="1" fieldPosition="0">
        <references count="2">
          <reference field="1" count="1">
            <x v="277"/>
          </reference>
          <reference field="2" count="1" selected="0">
            <x v="7"/>
          </reference>
        </references>
      </pivotArea>
    </format>
    <format dxfId="93">
      <pivotArea collapsedLevelsAreSubtotals="1" fieldPosition="0">
        <references count="2">
          <reference field="1" count="1">
            <x v="278"/>
          </reference>
          <reference field="2" count="1" selected="0">
            <x v="7"/>
          </reference>
        </references>
      </pivotArea>
    </format>
    <format dxfId="92">
      <pivotArea collapsedLevelsAreSubtotals="1" fieldPosition="0">
        <references count="2">
          <reference field="1" count="1">
            <x v="279"/>
          </reference>
          <reference field="2" count="1" selected="0">
            <x v="7"/>
          </reference>
        </references>
      </pivotArea>
    </format>
    <format dxfId="91">
      <pivotArea collapsedLevelsAreSubtotals="1" fieldPosition="0">
        <references count="2">
          <reference field="1" count="1">
            <x v="280"/>
          </reference>
          <reference field="2" count="1" selected="0">
            <x v="7"/>
          </reference>
        </references>
      </pivotArea>
    </format>
    <format dxfId="90">
      <pivotArea collapsedLevelsAreSubtotals="1" fieldPosition="0">
        <references count="2">
          <reference field="1" count="1">
            <x v="281"/>
          </reference>
          <reference field="2" count="1" selected="0">
            <x v="7"/>
          </reference>
        </references>
      </pivotArea>
    </format>
    <format dxfId="89">
      <pivotArea collapsedLevelsAreSubtotals="1" fieldPosition="0">
        <references count="2">
          <reference field="1" count="1">
            <x v="282"/>
          </reference>
          <reference field="2" count="1" selected="0">
            <x v="7"/>
          </reference>
        </references>
      </pivotArea>
    </format>
    <format dxfId="88">
      <pivotArea collapsedLevelsAreSubtotals="1" fieldPosition="0">
        <references count="2">
          <reference field="1" count="1">
            <x v="283"/>
          </reference>
          <reference field="2" count="1" selected="0">
            <x v="7"/>
          </reference>
        </references>
      </pivotArea>
    </format>
    <format dxfId="87">
      <pivotArea collapsedLevelsAreSubtotals="1" fieldPosition="0">
        <references count="2">
          <reference field="1" count="1">
            <x v="284"/>
          </reference>
          <reference field="2" count="1" selected="0">
            <x v="7"/>
          </reference>
        </references>
      </pivotArea>
    </format>
    <format dxfId="86">
      <pivotArea collapsedLevelsAreSubtotals="1" fieldPosition="0">
        <references count="2">
          <reference field="1" count="1">
            <x v="285"/>
          </reference>
          <reference field="2" count="1" selected="0">
            <x v="7"/>
          </reference>
        </references>
      </pivotArea>
    </format>
    <format dxfId="85">
      <pivotArea collapsedLevelsAreSubtotals="1" fieldPosition="0">
        <references count="2">
          <reference field="1" count="1">
            <x v="286"/>
          </reference>
          <reference field="2" count="1" selected="0">
            <x v="7"/>
          </reference>
        </references>
      </pivotArea>
    </format>
    <format dxfId="84">
      <pivotArea collapsedLevelsAreSubtotals="1" fieldPosition="0">
        <references count="2">
          <reference field="1" count="1">
            <x v="287"/>
          </reference>
          <reference field="2" count="1" selected="0">
            <x v="7"/>
          </reference>
        </references>
      </pivotArea>
    </format>
    <format dxfId="83">
      <pivotArea collapsedLevelsAreSubtotals="1" fieldPosition="0">
        <references count="2">
          <reference field="1" count="1">
            <x v="288"/>
          </reference>
          <reference field="2" count="1" selected="0">
            <x v="7"/>
          </reference>
        </references>
      </pivotArea>
    </format>
    <format dxfId="82">
      <pivotArea collapsedLevelsAreSubtotals="1" fieldPosition="0">
        <references count="2">
          <reference field="1" count="1">
            <x v="289"/>
          </reference>
          <reference field="2" count="1" selected="0">
            <x v="7"/>
          </reference>
        </references>
      </pivotArea>
    </format>
    <format dxfId="81">
      <pivotArea collapsedLevelsAreSubtotals="1" fieldPosition="0">
        <references count="2">
          <reference field="1" count="1">
            <x v="290"/>
          </reference>
          <reference field="2" count="1" selected="0">
            <x v="7"/>
          </reference>
        </references>
      </pivotArea>
    </format>
    <format dxfId="80">
      <pivotArea collapsedLevelsAreSubtotals="1" fieldPosition="0">
        <references count="2">
          <reference field="1" count="1">
            <x v="291"/>
          </reference>
          <reference field="2" count="1" selected="0">
            <x v="7"/>
          </reference>
        </references>
      </pivotArea>
    </format>
    <format dxfId="79">
      <pivotArea collapsedLevelsAreSubtotals="1" fieldPosition="0">
        <references count="2">
          <reference field="1" count="1">
            <x v="292"/>
          </reference>
          <reference field="2" count="1" selected="0">
            <x v="7"/>
          </reference>
        </references>
      </pivotArea>
    </format>
    <format dxfId="78">
      <pivotArea collapsedLevelsAreSubtotals="1" fieldPosition="0">
        <references count="2">
          <reference field="1" count="1">
            <x v="293"/>
          </reference>
          <reference field="2" count="1" selected="0">
            <x v="7"/>
          </reference>
        </references>
      </pivotArea>
    </format>
    <format dxfId="77">
      <pivotArea collapsedLevelsAreSubtotals="1" fieldPosition="0">
        <references count="2">
          <reference field="1" count="1">
            <x v="294"/>
          </reference>
          <reference field="2" count="1" selected="0">
            <x v="7"/>
          </reference>
        </references>
      </pivotArea>
    </format>
    <format dxfId="76">
      <pivotArea collapsedLevelsAreSubtotals="1" fieldPosition="0">
        <references count="2">
          <reference field="1" count="1">
            <x v="295"/>
          </reference>
          <reference field="2" count="1" selected="0">
            <x v="7"/>
          </reference>
        </references>
      </pivotArea>
    </format>
    <format dxfId="75">
      <pivotArea collapsedLevelsAreSubtotals="1" fieldPosition="0">
        <references count="2">
          <reference field="1" count="1">
            <x v="296"/>
          </reference>
          <reference field="2" count="1" selected="0">
            <x v="7"/>
          </reference>
        </references>
      </pivotArea>
    </format>
    <format dxfId="74">
      <pivotArea collapsedLevelsAreSubtotals="1" fieldPosition="0">
        <references count="2">
          <reference field="1" count="1">
            <x v="297"/>
          </reference>
          <reference field="2" count="1" selected="0">
            <x v="7"/>
          </reference>
        </references>
      </pivotArea>
    </format>
    <format dxfId="73">
      <pivotArea collapsedLevelsAreSubtotals="1" fieldPosition="0">
        <references count="2">
          <reference field="1" count="1">
            <x v="298"/>
          </reference>
          <reference field="2" count="1" selected="0">
            <x v="7"/>
          </reference>
        </references>
      </pivotArea>
    </format>
    <format dxfId="72">
      <pivotArea collapsedLevelsAreSubtotals="1" fieldPosition="0">
        <references count="2">
          <reference field="1" count="1">
            <x v="299"/>
          </reference>
          <reference field="2" count="1" selected="0">
            <x v="7"/>
          </reference>
        </references>
      </pivotArea>
    </format>
    <format dxfId="71">
      <pivotArea collapsedLevelsAreSubtotals="1" fieldPosition="0">
        <references count="2">
          <reference field="1" count="1">
            <x v="300"/>
          </reference>
          <reference field="2" count="1" selected="0">
            <x v="7"/>
          </reference>
        </references>
      </pivotArea>
    </format>
    <format dxfId="70">
      <pivotArea collapsedLevelsAreSubtotals="1" fieldPosition="0">
        <references count="2">
          <reference field="1" count="1">
            <x v="301"/>
          </reference>
          <reference field="2" count="1" selected="0">
            <x v="7"/>
          </reference>
        </references>
      </pivotArea>
    </format>
    <format dxfId="69">
      <pivotArea collapsedLevelsAreSubtotals="1" fieldPosition="0">
        <references count="1">
          <reference field="2" count="1">
            <x v="8"/>
          </reference>
        </references>
      </pivotArea>
    </format>
    <format dxfId="68">
      <pivotArea collapsedLevelsAreSubtotals="1" fieldPosition="0">
        <references count="2">
          <reference field="1" count="1">
            <x v="304"/>
          </reference>
          <reference field="2" count="1" selected="0">
            <x v="8"/>
          </reference>
        </references>
      </pivotArea>
    </format>
    <format dxfId="67">
      <pivotArea collapsedLevelsAreSubtotals="1" fieldPosition="0">
        <references count="2">
          <reference field="1" count="1">
            <x v="305"/>
          </reference>
          <reference field="2" count="1" selected="0">
            <x v="8"/>
          </reference>
        </references>
      </pivotArea>
    </format>
    <format dxfId="66">
      <pivotArea collapsedLevelsAreSubtotals="1" fieldPosition="0">
        <references count="2">
          <reference field="1" count="1">
            <x v="306"/>
          </reference>
          <reference field="2" count="1" selected="0">
            <x v="8"/>
          </reference>
        </references>
      </pivotArea>
    </format>
    <format dxfId="65">
      <pivotArea collapsedLevelsAreSubtotals="1" fieldPosition="0">
        <references count="2">
          <reference field="1" count="1">
            <x v="307"/>
          </reference>
          <reference field="2" count="1" selected="0">
            <x v="8"/>
          </reference>
        </references>
      </pivotArea>
    </format>
    <format dxfId="64">
      <pivotArea collapsedLevelsAreSubtotals="1" fieldPosition="0">
        <references count="2">
          <reference field="1" count="1">
            <x v="308"/>
          </reference>
          <reference field="2" count="1" selected="0">
            <x v="8"/>
          </reference>
        </references>
      </pivotArea>
    </format>
    <format dxfId="63">
      <pivotArea collapsedLevelsAreSubtotals="1" fieldPosition="0">
        <references count="2">
          <reference field="1" count="1">
            <x v="309"/>
          </reference>
          <reference field="2" count="1" selected="0">
            <x v="8"/>
          </reference>
        </references>
      </pivotArea>
    </format>
    <format dxfId="62">
      <pivotArea collapsedLevelsAreSubtotals="1" fieldPosition="0">
        <references count="2">
          <reference field="1" count="1">
            <x v="310"/>
          </reference>
          <reference field="2" count="1" selected="0">
            <x v="8"/>
          </reference>
        </references>
      </pivotArea>
    </format>
    <format dxfId="61">
      <pivotArea collapsedLevelsAreSubtotals="1" fieldPosition="0">
        <references count="2">
          <reference field="1" count="1">
            <x v="311"/>
          </reference>
          <reference field="2" count="1" selected="0">
            <x v="8"/>
          </reference>
        </references>
      </pivotArea>
    </format>
    <format dxfId="60">
      <pivotArea collapsedLevelsAreSubtotals="1" fieldPosition="0">
        <references count="2">
          <reference field="1" count="1">
            <x v="312"/>
          </reference>
          <reference field="2" count="1" selected="0">
            <x v="8"/>
          </reference>
        </references>
      </pivotArea>
    </format>
    <format dxfId="59">
      <pivotArea collapsedLevelsAreSubtotals="1" fieldPosition="0">
        <references count="2">
          <reference field="1" count="1">
            <x v="313"/>
          </reference>
          <reference field="2" count="1" selected="0">
            <x v="8"/>
          </reference>
        </references>
      </pivotArea>
    </format>
    <format dxfId="58">
      <pivotArea collapsedLevelsAreSubtotals="1" fieldPosition="0">
        <references count="2">
          <reference field="1" count="1">
            <x v="314"/>
          </reference>
          <reference field="2" count="1" selected="0">
            <x v="8"/>
          </reference>
        </references>
      </pivotArea>
    </format>
    <format dxfId="57">
      <pivotArea collapsedLevelsAreSubtotals="1" fieldPosition="0">
        <references count="2">
          <reference field="1" count="1">
            <x v="315"/>
          </reference>
          <reference field="2" count="1" selected="0">
            <x v="8"/>
          </reference>
        </references>
      </pivotArea>
    </format>
    <format dxfId="56">
      <pivotArea collapsedLevelsAreSubtotals="1" fieldPosition="0">
        <references count="2">
          <reference field="1" count="1">
            <x v="316"/>
          </reference>
          <reference field="2" count="1" selected="0">
            <x v="8"/>
          </reference>
        </references>
      </pivotArea>
    </format>
    <format dxfId="55">
      <pivotArea collapsedLevelsAreSubtotals="1" fieldPosition="0">
        <references count="2">
          <reference field="1" count="1">
            <x v="317"/>
          </reference>
          <reference field="2" count="1" selected="0">
            <x v="8"/>
          </reference>
        </references>
      </pivotArea>
    </format>
    <format dxfId="54">
      <pivotArea collapsedLevelsAreSubtotals="1" fieldPosition="0">
        <references count="2">
          <reference field="1" count="1">
            <x v="318"/>
          </reference>
          <reference field="2" count="1" selected="0">
            <x v="8"/>
          </reference>
        </references>
      </pivotArea>
    </format>
    <format dxfId="53">
      <pivotArea collapsedLevelsAreSubtotals="1" fieldPosition="0">
        <references count="2">
          <reference field="1" count="1">
            <x v="319"/>
          </reference>
          <reference field="2" count="1" selected="0">
            <x v="8"/>
          </reference>
        </references>
      </pivotArea>
    </format>
    <format dxfId="52">
      <pivotArea collapsedLevelsAreSubtotals="1" fieldPosition="0">
        <references count="2">
          <reference field="1" count="1">
            <x v="320"/>
          </reference>
          <reference field="2" count="1" selected="0">
            <x v="8"/>
          </reference>
        </references>
      </pivotArea>
    </format>
    <format dxfId="51">
      <pivotArea collapsedLevelsAreSubtotals="1" fieldPosition="0">
        <references count="2">
          <reference field="1" count="1">
            <x v="321"/>
          </reference>
          <reference field="2" count="1" selected="0">
            <x v="8"/>
          </reference>
        </references>
      </pivotArea>
    </format>
    <format dxfId="50">
      <pivotArea collapsedLevelsAreSubtotals="1" fieldPosition="0">
        <references count="2">
          <reference field="1" count="1">
            <x v="322"/>
          </reference>
          <reference field="2" count="1" selected="0">
            <x v="8"/>
          </reference>
        </references>
      </pivotArea>
    </format>
    <format dxfId="49">
      <pivotArea collapsedLevelsAreSubtotals="1" fieldPosition="0">
        <references count="2">
          <reference field="1" count="1">
            <x v="323"/>
          </reference>
          <reference field="2" count="1" selected="0">
            <x v="8"/>
          </reference>
        </references>
      </pivotArea>
    </format>
    <format dxfId="48">
      <pivotArea collapsedLevelsAreSubtotals="1" fieldPosition="0">
        <references count="2">
          <reference field="1" count="1">
            <x v="324"/>
          </reference>
          <reference field="2" count="1" selected="0">
            <x v="8"/>
          </reference>
        </references>
      </pivotArea>
    </format>
    <format dxfId="47">
      <pivotArea collapsedLevelsAreSubtotals="1" fieldPosition="0">
        <references count="2">
          <reference field="1" count="1">
            <x v="325"/>
          </reference>
          <reference field="2" count="1" selected="0">
            <x v="8"/>
          </reference>
        </references>
      </pivotArea>
    </format>
    <format dxfId="46">
      <pivotArea collapsedLevelsAreSubtotals="1" fieldPosition="0">
        <references count="2">
          <reference field="1" count="1">
            <x v="326"/>
          </reference>
          <reference field="2" count="1" selected="0">
            <x v="8"/>
          </reference>
        </references>
      </pivotArea>
    </format>
    <format dxfId="45">
      <pivotArea collapsedLevelsAreSubtotals="1" fieldPosition="0">
        <references count="2">
          <reference field="1" count="1">
            <x v="327"/>
          </reference>
          <reference field="2" count="1" selected="0">
            <x v="8"/>
          </reference>
        </references>
      </pivotArea>
    </format>
    <format dxfId="44">
      <pivotArea collapsedLevelsAreSubtotals="1" fieldPosition="0">
        <references count="2">
          <reference field="1" count="1">
            <x v="328"/>
          </reference>
          <reference field="2" count="1" selected="0">
            <x v="8"/>
          </reference>
        </references>
      </pivotArea>
    </format>
    <format dxfId="43">
      <pivotArea collapsedLevelsAreSubtotals="1" fieldPosition="0">
        <references count="2">
          <reference field="1" count="1">
            <x v="329"/>
          </reference>
          <reference field="2" count="1" selected="0">
            <x v="8"/>
          </reference>
        </references>
      </pivotArea>
    </format>
    <format dxfId="42">
      <pivotArea collapsedLevelsAreSubtotals="1" fieldPosition="0">
        <references count="2">
          <reference field="1" count="1">
            <x v="330"/>
          </reference>
          <reference field="2" count="1" selected="0">
            <x v="8"/>
          </reference>
        </references>
      </pivotArea>
    </format>
    <format dxfId="41">
      <pivotArea collapsedLevelsAreSubtotals="1" fieldPosition="0">
        <references count="2">
          <reference field="1" count="1">
            <x v="331"/>
          </reference>
          <reference field="2" count="1" selected="0">
            <x v="8"/>
          </reference>
        </references>
      </pivotArea>
    </format>
    <format dxfId="40">
      <pivotArea collapsedLevelsAreSubtotals="1" fieldPosition="0">
        <references count="2">
          <reference field="1" count="1">
            <x v="332"/>
          </reference>
          <reference field="2" count="1" selected="0">
            <x v="8"/>
          </reference>
        </references>
      </pivotArea>
    </format>
    <format dxfId="39">
      <pivotArea collapsedLevelsAreSubtotals="1" fieldPosition="0">
        <references count="2">
          <reference field="1" count="1">
            <x v="333"/>
          </reference>
          <reference field="2" count="1" selected="0">
            <x v="8"/>
          </reference>
        </references>
      </pivotArea>
    </format>
    <format dxfId="38">
      <pivotArea collapsedLevelsAreSubtotals="1" fieldPosition="0">
        <references count="1">
          <reference field="2" count="1">
            <x v="9"/>
          </reference>
        </references>
      </pivotArea>
    </format>
    <format dxfId="37">
      <pivotArea collapsedLevelsAreSubtotals="1" fieldPosition="0">
        <references count="2">
          <reference field="1" count="1">
            <x v="334"/>
          </reference>
          <reference field="2" count="1" selected="0">
            <x v="9"/>
          </reference>
        </references>
      </pivotArea>
    </format>
    <format dxfId="36">
      <pivotArea collapsedLevelsAreSubtotals="1" fieldPosition="0">
        <references count="2">
          <reference field="1" count="1">
            <x v="335"/>
          </reference>
          <reference field="2" count="1" selected="0">
            <x v="9"/>
          </reference>
        </references>
      </pivotArea>
    </format>
    <format dxfId="35">
      <pivotArea collapsedLevelsAreSubtotals="1" fieldPosition="0">
        <references count="2">
          <reference field="1" count="1">
            <x v="336"/>
          </reference>
          <reference field="2" count="1" selected="0">
            <x v="9"/>
          </reference>
        </references>
      </pivotArea>
    </format>
    <format dxfId="34">
      <pivotArea collapsedLevelsAreSubtotals="1" fieldPosition="0">
        <references count="2">
          <reference field="1" count="1">
            <x v="337"/>
          </reference>
          <reference field="2" count="1" selected="0">
            <x v="9"/>
          </reference>
        </references>
      </pivotArea>
    </format>
    <format dxfId="33">
      <pivotArea collapsedLevelsAreSubtotals="1" fieldPosition="0">
        <references count="2">
          <reference field="1" count="1">
            <x v="338"/>
          </reference>
          <reference field="2" count="1" selected="0">
            <x v="9"/>
          </reference>
        </references>
      </pivotArea>
    </format>
    <format dxfId="32">
      <pivotArea collapsedLevelsAreSubtotals="1" fieldPosition="0">
        <references count="2">
          <reference field="1" count="1">
            <x v="339"/>
          </reference>
          <reference field="2" count="1" selected="0">
            <x v="9"/>
          </reference>
        </references>
      </pivotArea>
    </format>
    <format dxfId="31">
      <pivotArea collapsedLevelsAreSubtotals="1" fieldPosition="0">
        <references count="2">
          <reference field="1" count="1">
            <x v="364"/>
          </reference>
          <reference field="2" count="1" selected="0">
            <x v="9"/>
          </reference>
        </references>
      </pivotArea>
    </format>
    <format dxfId="30">
      <pivotArea collapsedLevelsAreSubtotals="1" fieldPosition="0">
        <references count="2">
          <reference field="1" count="1">
            <x v="340"/>
          </reference>
          <reference field="2" count="1" selected="0">
            <x v="9"/>
          </reference>
        </references>
      </pivotArea>
    </format>
    <format dxfId="29">
      <pivotArea collapsedLevelsAreSubtotals="1" fieldPosition="0">
        <references count="2">
          <reference field="1" count="1">
            <x v="341"/>
          </reference>
          <reference field="2" count="1" selected="0">
            <x v="9"/>
          </reference>
        </references>
      </pivotArea>
    </format>
    <format dxfId="28">
      <pivotArea collapsedLevelsAreSubtotals="1" fieldPosition="0">
        <references count="2">
          <reference field="1" count="1">
            <x v="342"/>
          </reference>
          <reference field="2" count="1" selected="0">
            <x v="9"/>
          </reference>
        </references>
      </pivotArea>
    </format>
    <format dxfId="27">
      <pivotArea collapsedLevelsAreSubtotals="1" fieldPosition="0">
        <references count="2">
          <reference field="1" count="1">
            <x v="343"/>
          </reference>
          <reference field="2" count="1" selected="0">
            <x v="9"/>
          </reference>
        </references>
      </pivotArea>
    </format>
    <format dxfId="26">
      <pivotArea collapsedLevelsAreSubtotals="1" fieldPosition="0">
        <references count="2">
          <reference field="1" count="1">
            <x v="344"/>
          </reference>
          <reference field="2" count="1" selected="0">
            <x v="9"/>
          </reference>
        </references>
      </pivotArea>
    </format>
    <format dxfId="25">
      <pivotArea collapsedLevelsAreSubtotals="1" fieldPosition="0">
        <references count="2">
          <reference field="1" count="1">
            <x v="345"/>
          </reference>
          <reference field="2" count="1" selected="0">
            <x v="9"/>
          </reference>
        </references>
      </pivotArea>
    </format>
    <format dxfId="24">
      <pivotArea collapsedLevelsAreSubtotals="1" fieldPosition="0">
        <references count="2">
          <reference field="1" count="1">
            <x v="346"/>
          </reference>
          <reference field="2" count="1" selected="0">
            <x v="9"/>
          </reference>
        </references>
      </pivotArea>
    </format>
    <format dxfId="23">
      <pivotArea collapsedLevelsAreSubtotals="1" fieldPosition="0">
        <references count="2">
          <reference field="1" count="1">
            <x v="347"/>
          </reference>
          <reference field="2" count="1" selected="0">
            <x v="9"/>
          </reference>
        </references>
      </pivotArea>
    </format>
    <format dxfId="22">
      <pivotArea collapsedLevelsAreSubtotals="1" fieldPosition="0">
        <references count="2">
          <reference field="1" count="1">
            <x v="348"/>
          </reference>
          <reference field="2" count="1" selected="0">
            <x v="9"/>
          </reference>
        </references>
      </pivotArea>
    </format>
    <format dxfId="21">
      <pivotArea collapsedLevelsAreSubtotals="1" fieldPosition="0">
        <references count="2">
          <reference field="1" count="1">
            <x v="349"/>
          </reference>
          <reference field="2" count="1" selected="0">
            <x v="9"/>
          </reference>
        </references>
      </pivotArea>
    </format>
    <format dxfId="20">
      <pivotArea collapsedLevelsAreSubtotals="1" fieldPosition="0">
        <references count="2">
          <reference field="1" count="1">
            <x v="350"/>
          </reference>
          <reference field="2" count="1" selected="0">
            <x v="9"/>
          </reference>
        </references>
      </pivotArea>
    </format>
    <format dxfId="19">
      <pivotArea collapsedLevelsAreSubtotals="1" fieldPosition="0">
        <references count="2">
          <reference field="1" count="1">
            <x v="351"/>
          </reference>
          <reference field="2" count="1" selected="0">
            <x v="9"/>
          </reference>
        </references>
      </pivotArea>
    </format>
    <format dxfId="18">
      <pivotArea collapsedLevelsAreSubtotals="1" fieldPosition="0">
        <references count="2">
          <reference field="1" count="1">
            <x v="352"/>
          </reference>
          <reference field="2" count="1" selected="0">
            <x v="9"/>
          </reference>
        </references>
      </pivotArea>
    </format>
    <format dxfId="17">
      <pivotArea collapsedLevelsAreSubtotals="1" fieldPosition="0">
        <references count="2">
          <reference field="1" count="1">
            <x v="353"/>
          </reference>
          <reference field="2" count="1" selected="0">
            <x v="9"/>
          </reference>
        </references>
      </pivotArea>
    </format>
    <format dxfId="16">
      <pivotArea collapsedLevelsAreSubtotals="1" fieldPosition="0">
        <references count="2">
          <reference field="1" count="1">
            <x v="354"/>
          </reference>
          <reference field="2" count="1" selected="0">
            <x v="9"/>
          </reference>
        </references>
      </pivotArea>
    </format>
    <format dxfId="15">
      <pivotArea collapsedLevelsAreSubtotals="1" fieldPosition="0">
        <references count="2">
          <reference field="1" count="1">
            <x v="355"/>
          </reference>
          <reference field="2" count="1" selected="0">
            <x v="9"/>
          </reference>
        </references>
      </pivotArea>
    </format>
    <format dxfId="14">
      <pivotArea collapsedLevelsAreSubtotals="1" fieldPosition="0">
        <references count="2">
          <reference field="1" count="1">
            <x v="356"/>
          </reference>
          <reference field="2" count="1" selected="0">
            <x v="9"/>
          </reference>
        </references>
      </pivotArea>
    </format>
    <format dxfId="13">
      <pivotArea collapsedLevelsAreSubtotals="1" fieldPosition="0">
        <references count="2">
          <reference field="1" count="1">
            <x v="357"/>
          </reference>
          <reference field="2" count="1" selected="0">
            <x v="9"/>
          </reference>
        </references>
      </pivotArea>
    </format>
    <format dxfId="12">
      <pivotArea collapsedLevelsAreSubtotals="1" fieldPosition="0">
        <references count="2">
          <reference field="1" count="1">
            <x v="358"/>
          </reference>
          <reference field="2" count="1" selected="0">
            <x v="9"/>
          </reference>
        </references>
      </pivotArea>
    </format>
    <format dxfId="11">
      <pivotArea collapsedLevelsAreSubtotals="1" fieldPosition="0">
        <references count="2">
          <reference field="1" count="1">
            <x v="359"/>
          </reference>
          <reference field="2" count="1" selected="0">
            <x v="9"/>
          </reference>
        </references>
      </pivotArea>
    </format>
    <format dxfId="10">
      <pivotArea collapsedLevelsAreSubtotals="1" fieldPosition="0">
        <references count="2">
          <reference field="1" count="1">
            <x v="360"/>
          </reference>
          <reference field="2" count="1" selected="0">
            <x v="9"/>
          </reference>
        </references>
      </pivotArea>
    </format>
    <format dxfId="9">
      <pivotArea collapsedLevelsAreSubtotals="1" fieldPosition="0">
        <references count="2">
          <reference field="1" count="1">
            <x v="361"/>
          </reference>
          <reference field="2" count="1" selected="0">
            <x v="9"/>
          </reference>
        </references>
      </pivotArea>
    </format>
    <format dxfId="8">
      <pivotArea collapsedLevelsAreSubtotals="1" fieldPosition="0">
        <references count="2">
          <reference field="1" count="1">
            <x v="362"/>
          </reference>
          <reference field="2" count="1" selected="0">
            <x v="9"/>
          </reference>
        </references>
      </pivotArea>
    </format>
    <format dxfId="7">
      <pivotArea collapsedLevelsAreSubtotals="1" fieldPosition="0">
        <references count="2">
          <reference field="1" count="1">
            <x v="365"/>
          </reference>
          <reference field="2" count="1" selected="0">
            <x v="9"/>
          </reference>
        </references>
      </pivotArea>
    </format>
    <format dxfId="6">
      <pivotArea grandRow="1" outline="0" collapsedLevelsAreSubtotals="1" fieldPosition="0"/>
    </format>
  </formats>
  <chartFormats count="5">
    <chartFormat chart="33" format="1"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494889-C171-4C7A-880D-1942BFDE193D}" name="PivotTable11" cacheId="10" applyNumberFormats="0" applyBorderFormats="0" applyFontFormats="0" applyPatternFormats="0" applyAlignmentFormats="0" applyWidthHeightFormats="1" dataCaption="Values" tag="243ccb62-a077-49a4-8ff4-115df1fe1942" updatedVersion="8" minRefreshableVersion="3" subtotalHiddenItems="1" itemPrintTitles="1" createdVersion="8" indent="0" outline="1" outlineData="1" multipleFieldFilters="0" chartFormat="19">
  <location ref="B81:C9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3">
    <format dxfId="384">
      <pivotArea outline="0" collapsedLevelsAreSubtotals="1" fieldPosition="0"/>
    </format>
    <format dxfId="383">
      <pivotArea grandRow="1" outline="0" collapsedLevelsAreSubtotals="1" fieldPosition="0"/>
    </format>
    <format dxfId="382">
      <pivotArea collapsedLevelsAreSubtotals="1" fieldPosition="0">
        <references count="1">
          <reference field="1" count="0"/>
        </references>
      </pivotArea>
    </format>
  </formats>
  <chartFormats count="5">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 count="1" selected="0">
            <x v="4"/>
          </reference>
        </references>
      </pivotArea>
    </chartFormat>
    <chartFormat chart="18" format="4">
      <pivotArea type="data" outline="0" fieldPosition="0">
        <references count="2">
          <reference field="4294967294" count="1" selected="0">
            <x v="0"/>
          </reference>
          <reference field="1" count="1" selected="0">
            <x v="2"/>
          </reference>
        </references>
      </pivotArea>
    </chartFormat>
    <chartFormat chart="18" format="5">
      <pivotArea type="data" outline="0" fieldPosition="0">
        <references count="2">
          <reference field="4294967294" count="1" selected="0">
            <x v="0"/>
          </reference>
          <reference field="1" count="1" selected="0">
            <x v="5"/>
          </reference>
        </references>
      </pivotArea>
    </chartFormat>
    <chartFormat chart="18" format="6">
      <pivotArea type="data" outline="0" fieldPosition="0">
        <references count="2">
          <reference field="4294967294" count="1" selected="0">
            <x v="0"/>
          </reference>
          <reference field="1"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B5E618-D8BD-463D-8477-3DAFAE13FFA0}" name="PivotTable1" cacheId="3" applyNumberFormats="0" applyBorderFormats="0" applyFontFormats="0" applyPatternFormats="0" applyAlignmentFormats="0" applyWidthHeightFormats="1" dataCaption="Values" tag="2220c5b8-c33b-4b2e-b6ff-7f4c19f81e18" updatedVersion="8" minRefreshableVersion="3" subtotalHiddenItems="1" itemPrintTitles="1" createdVersion="8" indent="0" outline="1" outlineData="1" multipleFieldFilters="0" chartFormat="24">
  <location ref="C3:D36" firstHeaderRow="1" firstDataRow="1" firstDataCol="1"/>
  <pivotFields count="5">
    <pivotField dataField="1" subtotalTop="0" showAll="0" defaultSubtotal="0"/>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items count="32">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s>
    </pivotField>
    <pivotField axis="axisRow" allDrilled="1" subtotalTop="0" showAll="0" dataSourceSort="1" defaultSubtotal="0" defaultAttributeDrillState="1">
      <items count="2">
        <item s="1" x="0"/>
        <item x="1"/>
      </items>
    </pivotField>
    <pivotField allDrilled="1" subtotalTop="0" showAll="0" dataSourceSort="1" defaultSubtotal="0" defaultAttributeDrillState="1"/>
  </pivotFields>
  <rowFields count="3">
    <field x="3"/>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3">
          <reference field="4294967294" count="1" selected="0">
            <x v="0"/>
          </reference>
          <reference field="2" count="1" selected="0">
            <x v="31"/>
          </reference>
          <reference field="3" count="1" selected="0">
            <x v="1"/>
          </reference>
        </references>
      </pivotArea>
    </chartFormat>
  </chartFormats>
  <pivotHierarchies count="34">
    <pivotHierarchy dragToData="1"/>
    <pivotHierarchy multipleItemSelectionAllowed="1" dragToData="1"/>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496C18-813A-4491-83E9-408EFAA2D4AC}" name="PivotTable12" cacheId="11" applyNumberFormats="0" applyBorderFormats="0" applyFontFormats="0" applyPatternFormats="0" applyAlignmentFormats="0" applyWidthHeightFormats="1" dataCaption="Values" tag="243ccb62-a077-49a4-8ff4-115df1fe1942" updatedVersion="8" minRefreshableVersion="3" subtotalHiddenItems="1" itemPrintTitles="1" createdVersion="8" indent="0" outline="1" outlineData="1" multipleFieldFilters="0" chartFormat="19">
  <location ref="F84:F86"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386">
      <pivotArea outline="0" collapsedLevelsAreSubtotals="1" fieldPosition="0"/>
    </format>
    <format dxfId="385">
      <pivotArea grandRow="1"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9461CF-4EE9-49E2-8812-E9C256BB4050}" name="PivotTable5" cacheId="4" applyNumberFormats="0" applyBorderFormats="0" applyFontFormats="0" applyPatternFormats="0" applyAlignmentFormats="0" applyWidthHeightFormats="1" dataCaption="Values" tag="2220c5b8-c33b-4b2e-b6ff-7f4c19f81e18" updatedVersion="8" minRefreshableVersion="3" subtotalHiddenItems="1" itemPrintTitles="1" createdVersion="8" indent="0" outline="1" outlineData="1" multipleFieldFilters="0" chartFormat="33">
  <location ref="F3:G36" firstHeaderRow="1" firstDataRow="1" firstDataCol="1"/>
  <pivotFields count="5">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items count="366">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 x="304" e="0"/>
        <item x="305" e="0"/>
        <item x="306" e="0"/>
        <item x="307" e="0"/>
        <item x="308" e="0"/>
        <item x="309" e="0"/>
        <item x="310" e="0"/>
        <item x="311" e="0"/>
        <item x="312" e="0"/>
        <item x="313" e="0"/>
        <item x="314" e="0"/>
        <item x="315" e="0"/>
        <item x="316" e="0"/>
        <item x="317" e="0"/>
        <item x="318" e="0"/>
        <item x="319" e="0"/>
        <item x="320" e="0"/>
        <item x="321" e="0"/>
        <item x="322" e="0"/>
        <item x="323" e="0"/>
        <item x="324" e="0"/>
        <item x="325" e="0"/>
        <item x="326" e="0"/>
        <item x="327" e="0"/>
        <item x="328" e="0"/>
        <item x="329" e="0"/>
        <item x="330" e="0"/>
        <item x="331" e="0"/>
        <item x="332" e="0"/>
        <item x="333" e="0"/>
        <item x="334" e="0"/>
        <item x="335" e="0"/>
        <item x="336" e="0"/>
        <item x="337" e="0"/>
        <item x="338" e="0"/>
        <item x="339" e="0"/>
        <item x="340" e="0"/>
        <item x="341" e="0"/>
        <item x="342" e="0"/>
        <item x="343" e="0"/>
        <item x="344" e="0"/>
        <item x="345" e="0"/>
        <item x="346" e="0"/>
        <item x="347" e="0"/>
        <item x="348" e="0"/>
        <item x="349" e="0"/>
        <item x="350" e="0"/>
        <item x="351" e="0"/>
        <item x="352" e="0"/>
        <item x="353" e="0"/>
        <item x="354" e="0"/>
        <item x="355" e="0"/>
        <item x="356" e="0"/>
        <item x="357" e="0"/>
        <item x="358" e="0"/>
        <item x="359" e="0"/>
        <item x="360" e="0"/>
        <item x="361" e="0"/>
        <item x="362" e="0"/>
        <item x="363" e="0"/>
        <item x="364" e="0"/>
        <item x="365" e="0"/>
      </items>
    </pivotField>
    <pivotField axis="axisRow" allDrilled="1" subtotalTop="0" showAll="0" dataSourceSort="1" defaultSubtotal="0" defaultAttributeDrillState="1">
      <items count="10">
        <item s="1"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3">
    <field x="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3" subtotal="average" baseField="2" baseItem="0"/>
  </dataFields>
  <formats count="376">
    <format dxfId="762">
      <pivotArea collapsedLevelsAreSubtotals="1" fieldPosition="0">
        <references count="2">
          <reference field="1" count="1">
            <x v="243"/>
          </reference>
          <reference field="2" count="0" selected="0"/>
        </references>
      </pivotArea>
    </format>
    <format dxfId="761">
      <pivotArea collapsedLevelsAreSubtotals="1" fieldPosition="0">
        <references count="2">
          <reference field="1" count="1">
            <x v="244"/>
          </reference>
          <reference field="2" count="0" selected="0"/>
        </references>
      </pivotArea>
    </format>
    <format dxfId="760">
      <pivotArea collapsedLevelsAreSubtotals="1" fieldPosition="0">
        <references count="2">
          <reference field="1" count="1">
            <x v="245"/>
          </reference>
          <reference field="2" count="0" selected="0"/>
        </references>
      </pivotArea>
    </format>
    <format dxfId="759">
      <pivotArea collapsedLevelsAreSubtotals="1" fieldPosition="0">
        <references count="2">
          <reference field="1" count="1">
            <x v="246"/>
          </reference>
          <reference field="2" count="0" selected="0"/>
        </references>
      </pivotArea>
    </format>
    <format dxfId="758">
      <pivotArea collapsedLevelsAreSubtotals="1" fieldPosition="0">
        <references count="2">
          <reference field="1" count="1">
            <x v="247"/>
          </reference>
          <reference field="2" count="0" selected="0"/>
        </references>
      </pivotArea>
    </format>
    <format dxfId="757">
      <pivotArea collapsedLevelsAreSubtotals="1" fieldPosition="0">
        <references count="2">
          <reference field="1" count="1">
            <x v="248"/>
          </reference>
          <reference field="2" count="0" selected="0"/>
        </references>
      </pivotArea>
    </format>
    <format dxfId="756">
      <pivotArea collapsedLevelsAreSubtotals="1" fieldPosition="0">
        <references count="2">
          <reference field="1" count="1">
            <x v="249"/>
          </reference>
          <reference field="2" count="0" selected="0"/>
        </references>
      </pivotArea>
    </format>
    <format dxfId="755">
      <pivotArea collapsedLevelsAreSubtotals="1" fieldPosition="0">
        <references count="2">
          <reference field="1" count="1">
            <x v="250"/>
          </reference>
          <reference field="2" count="0" selected="0"/>
        </references>
      </pivotArea>
    </format>
    <format dxfId="754">
      <pivotArea collapsedLevelsAreSubtotals="1" fieldPosition="0">
        <references count="2">
          <reference field="1" count="1">
            <x v="251"/>
          </reference>
          <reference field="2" count="0" selected="0"/>
        </references>
      </pivotArea>
    </format>
    <format dxfId="753">
      <pivotArea collapsedLevelsAreSubtotals="1" fieldPosition="0">
        <references count="2">
          <reference field="1" count="1">
            <x v="252"/>
          </reference>
          <reference field="2" count="0" selected="0"/>
        </references>
      </pivotArea>
    </format>
    <format dxfId="752">
      <pivotArea collapsedLevelsAreSubtotals="1" fieldPosition="0">
        <references count="2">
          <reference field="1" count="1">
            <x v="253"/>
          </reference>
          <reference field="2" count="0" selected="0"/>
        </references>
      </pivotArea>
    </format>
    <format dxfId="751">
      <pivotArea collapsedLevelsAreSubtotals="1" fieldPosition="0">
        <references count="2">
          <reference field="1" count="1">
            <x v="254"/>
          </reference>
          <reference field="2" count="0" selected="0"/>
        </references>
      </pivotArea>
    </format>
    <format dxfId="750">
      <pivotArea collapsedLevelsAreSubtotals="1" fieldPosition="0">
        <references count="2">
          <reference field="1" count="1">
            <x v="255"/>
          </reference>
          <reference field="2" count="0" selected="0"/>
        </references>
      </pivotArea>
    </format>
    <format dxfId="749">
      <pivotArea collapsedLevelsAreSubtotals="1" fieldPosition="0">
        <references count="2">
          <reference field="1" count="1">
            <x v="256"/>
          </reference>
          <reference field="2" count="0" selected="0"/>
        </references>
      </pivotArea>
    </format>
    <format dxfId="748">
      <pivotArea collapsedLevelsAreSubtotals="1" fieldPosition="0">
        <references count="2">
          <reference field="1" count="1">
            <x v="257"/>
          </reference>
          <reference field="2" count="0" selected="0"/>
        </references>
      </pivotArea>
    </format>
    <format dxfId="747">
      <pivotArea collapsedLevelsAreSubtotals="1" fieldPosition="0">
        <references count="2">
          <reference field="1" count="1">
            <x v="258"/>
          </reference>
          <reference field="2" count="0" selected="0"/>
        </references>
      </pivotArea>
    </format>
    <format dxfId="746">
      <pivotArea collapsedLevelsAreSubtotals="1" fieldPosition="0">
        <references count="2">
          <reference field="1" count="1">
            <x v="259"/>
          </reference>
          <reference field="2" count="0" selected="0"/>
        </references>
      </pivotArea>
    </format>
    <format dxfId="745">
      <pivotArea collapsedLevelsAreSubtotals="1" fieldPosition="0">
        <references count="2">
          <reference field="1" count="1">
            <x v="260"/>
          </reference>
          <reference field="2" count="0" selected="0"/>
        </references>
      </pivotArea>
    </format>
    <format dxfId="744">
      <pivotArea collapsedLevelsAreSubtotals="1" fieldPosition="0">
        <references count="2">
          <reference field="1" count="1">
            <x v="261"/>
          </reference>
          <reference field="2" count="0" selected="0"/>
        </references>
      </pivotArea>
    </format>
    <format dxfId="743">
      <pivotArea collapsedLevelsAreSubtotals="1" fieldPosition="0">
        <references count="2">
          <reference field="1" count="1">
            <x v="262"/>
          </reference>
          <reference field="2" count="0" selected="0"/>
        </references>
      </pivotArea>
    </format>
    <format dxfId="742">
      <pivotArea collapsedLevelsAreSubtotals="1" fieldPosition="0">
        <references count="2">
          <reference field="1" count="1">
            <x v="263"/>
          </reference>
          <reference field="2" count="0" selected="0"/>
        </references>
      </pivotArea>
    </format>
    <format dxfId="741">
      <pivotArea collapsedLevelsAreSubtotals="1" fieldPosition="0">
        <references count="2">
          <reference field="1" count="1">
            <x v="264"/>
          </reference>
          <reference field="2" count="0" selected="0"/>
        </references>
      </pivotArea>
    </format>
    <format dxfId="740">
      <pivotArea collapsedLevelsAreSubtotals="1" fieldPosition="0">
        <references count="2">
          <reference field="1" count="1">
            <x v="265"/>
          </reference>
          <reference field="2" count="0" selected="0"/>
        </references>
      </pivotArea>
    </format>
    <format dxfId="739">
      <pivotArea collapsedLevelsAreSubtotals="1" fieldPosition="0">
        <references count="2">
          <reference field="1" count="1">
            <x v="266"/>
          </reference>
          <reference field="2" count="0" selected="0"/>
        </references>
      </pivotArea>
    </format>
    <format dxfId="738">
      <pivotArea collapsedLevelsAreSubtotals="1" fieldPosition="0">
        <references count="2">
          <reference field="1" count="1">
            <x v="267"/>
          </reference>
          <reference field="2" count="0" selected="0"/>
        </references>
      </pivotArea>
    </format>
    <format dxfId="737">
      <pivotArea collapsedLevelsAreSubtotals="1" fieldPosition="0">
        <references count="2">
          <reference field="1" count="1">
            <x v="268"/>
          </reference>
          <reference field="2" count="0" selected="0"/>
        </references>
      </pivotArea>
    </format>
    <format dxfId="736">
      <pivotArea collapsedLevelsAreSubtotals="1" fieldPosition="0">
        <references count="2">
          <reference field="1" count="1">
            <x v="269"/>
          </reference>
          <reference field="2" count="0" selected="0"/>
        </references>
      </pivotArea>
    </format>
    <format dxfId="735">
      <pivotArea collapsedLevelsAreSubtotals="1" fieldPosition="0">
        <references count="2">
          <reference field="1" count="1">
            <x v="270"/>
          </reference>
          <reference field="2" count="0" selected="0"/>
        </references>
      </pivotArea>
    </format>
    <format dxfId="734">
      <pivotArea collapsedLevelsAreSubtotals="1" fieldPosition="0">
        <references count="2">
          <reference field="1" count="1">
            <x v="271"/>
          </reference>
          <reference field="2" count="0" selected="0"/>
        </references>
      </pivotArea>
    </format>
    <format dxfId="733">
      <pivotArea collapsedLevelsAreSubtotals="1" fieldPosition="0">
        <references count="2">
          <reference field="1" count="1">
            <x v="272"/>
          </reference>
          <reference field="2" count="0" selected="0"/>
        </references>
      </pivotArea>
    </format>
    <format dxfId="732">
      <pivotArea collapsedLevelsAreSubtotals="1" fieldPosition="0">
        <references count="2">
          <reference field="1" count="1">
            <x v="273"/>
          </reference>
          <reference field="2" count="0" selected="0"/>
        </references>
      </pivotArea>
    </format>
    <format dxfId="731">
      <pivotArea collapsedLevelsAreSubtotals="1" fieldPosition="0">
        <references count="2">
          <reference field="1" count="1">
            <x v="214"/>
          </reference>
          <reference field="2" count="0" selected="0"/>
        </references>
      </pivotArea>
    </format>
    <format dxfId="730">
      <pivotArea collapsedLevelsAreSubtotals="1" fieldPosition="0">
        <references count="2">
          <reference field="1" count="1">
            <x v="215"/>
          </reference>
          <reference field="2" count="0" selected="0"/>
        </references>
      </pivotArea>
    </format>
    <format dxfId="729">
      <pivotArea collapsedLevelsAreSubtotals="1" fieldPosition="0">
        <references count="2">
          <reference field="1" count="1">
            <x v="216"/>
          </reference>
          <reference field="2" count="0" selected="0"/>
        </references>
      </pivotArea>
    </format>
    <format dxfId="728">
      <pivotArea collapsedLevelsAreSubtotals="1" fieldPosition="0">
        <references count="2">
          <reference field="1" count="1">
            <x v="217"/>
          </reference>
          <reference field="2" count="0" selected="0"/>
        </references>
      </pivotArea>
    </format>
    <format dxfId="727">
      <pivotArea collapsedLevelsAreSubtotals="1" fieldPosition="0">
        <references count="2">
          <reference field="1" count="1">
            <x v="218"/>
          </reference>
          <reference field="2" count="0" selected="0"/>
        </references>
      </pivotArea>
    </format>
    <format dxfId="726">
      <pivotArea collapsedLevelsAreSubtotals="1" fieldPosition="0">
        <references count="2">
          <reference field="1" count="1">
            <x v="219"/>
          </reference>
          <reference field="2" count="0" selected="0"/>
        </references>
      </pivotArea>
    </format>
    <format dxfId="725">
      <pivotArea collapsedLevelsAreSubtotals="1" fieldPosition="0">
        <references count="2">
          <reference field="1" count="1">
            <x v="220"/>
          </reference>
          <reference field="2" count="0" selected="0"/>
        </references>
      </pivotArea>
    </format>
    <format dxfId="724">
      <pivotArea collapsedLevelsAreSubtotals="1" fieldPosition="0">
        <references count="2">
          <reference field="1" count="1">
            <x v="221"/>
          </reference>
          <reference field="2" count="0" selected="0"/>
        </references>
      </pivotArea>
    </format>
    <format dxfId="723">
      <pivotArea collapsedLevelsAreSubtotals="1" fieldPosition="0">
        <references count="2">
          <reference field="1" count="1">
            <x v="222"/>
          </reference>
          <reference field="2" count="0" selected="0"/>
        </references>
      </pivotArea>
    </format>
    <format dxfId="722">
      <pivotArea collapsedLevelsAreSubtotals="1" fieldPosition="0">
        <references count="2">
          <reference field="1" count="1">
            <x v="223"/>
          </reference>
          <reference field="2" count="0" selected="0"/>
        </references>
      </pivotArea>
    </format>
    <format dxfId="721">
      <pivotArea collapsedLevelsAreSubtotals="1" fieldPosition="0">
        <references count="2">
          <reference field="1" count="1">
            <x v="224"/>
          </reference>
          <reference field="2" count="0" selected="0"/>
        </references>
      </pivotArea>
    </format>
    <format dxfId="720">
      <pivotArea collapsedLevelsAreSubtotals="1" fieldPosition="0">
        <references count="2">
          <reference field="1" count="1">
            <x v="225"/>
          </reference>
          <reference field="2" count="0" selected="0"/>
        </references>
      </pivotArea>
    </format>
    <format dxfId="719">
      <pivotArea collapsedLevelsAreSubtotals="1" fieldPosition="0">
        <references count="2">
          <reference field="1" count="1">
            <x v="226"/>
          </reference>
          <reference field="2" count="0" selected="0"/>
        </references>
      </pivotArea>
    </format>
    <format dxfId="718">
      <pivotArea collapsedLevelsAreSubtotals="1" fieldPosition="0">
        <references count="2">
          <reference field="1" count="1">
            <x v="227"/>
          </reference>
          <reference field="2" count="0" selected="0"/>
        </references>
      </pivotArea>
    </format>
    <format dxfId="717">
      <pivotArea collapsedLevelsAreSubtotals="1" fieldPosition="0">
        <references count="2">
          <reference field="1" count="1">
            <x v="228"/>
          </reference>
          <reference field="2" count="0" selected="0"/>
        </references>
      </pivotArea>
    </format>
    <format dxfId="716">
      <pivotArea collapsedLevelsAreSubtotals="1" fieldPosition="0">
        <references count="2">
          <reference field="1" count="1">
            <x v="229"/>
          </reference>
          <reference field="2" count="0" selected="0"/>
        </references>
      </pivotArea>
    </format>
    <format dxfId="715">
      <pivotArea collapsedLevelsAreSubtotals="1" fieldPosition="0">
        <references count="2">
          <reference field="1" count="1">
            <x v="230"/>
          </reference>
          <reference field="2" count="0" selected="0"/>
        </references>
      </pivotArea>
    </format>
    <format dxfId="714">
      <pivotArea collapsedLevelsAreSubtotals="1" fieldPosition="0">
        <references count="2">
          <reference field="1" count="1">
            <x v="231"/>
          </reference>
          <reference field="2" count="0" selected="0"/>
        </references>
      </pivotArea>
    </format>
    <format dxfId="713">
      <pivotArea collapsedLevelsAreSubtotals="1" fieldPosition="0">
        <references count="2">
          <reference field="1" count="1">
            <x v="232"/>
          </reference>
          <reference field="2" count="0" selected="0"/>
        </references>
      </pivotArea>
    </format>
    <format dxfId="712">
      <pivotArea collapsedLevelsAreSubtotals="1" fieldPosition="0">
        <references count="2">
          <reference field="1" count="1">
            <x v="233"/>
          </reference>
          <reference field="2" count="0" selected="0"/>
        </references>
      </pivotArea>
    </format>
    <format dxfId="711">
      <pivotArea collapsedLevelsAreSubtotals="1" fieldPosition="0">
        <references count="2">
          <reference field="1" count="1">
            <x v="234"/>
          </reference>
          <reference field="2" count="0" selected="0"/>
        </references>
      </pivotArea>
    </format>
    <format dxfId="710">
      <pivotArea collapsedLevelsAreSubtotals="1" fieldPosition="0">
        <references count="2">
          <reference field="1" count="1">
            <x v="235"/>
          </reference>
          <reference field="2" count="0" selected="0"/>
        </references>
      </pivotArea>
    </format>
    <format dxfId="709">
      <pivotArea collapsedLevelsAreSubtotals="1" fieldPosition="0">
        <references count="2">
          <reference field="1" count="1">
            <x v="236"/>
          </reference>
          <reference field="2" count="0" selected="0"/>
        </references>
      </pivotArea>
    </format>
    <format dxfId="708">
      <pivotArea collapsedLevelsAreSubtotals="1" fieldPosition="0">
        <references count="2">
          <reference field="1" count="1">
            <x v="237"/>
          </reference>
          <reference field="2" count="0" selected="0"/>
        </references>
      </pivotArea>
    </format>
    <format dxfId="707">
      <pivotArea collapsedLevelsAreSubtotals="1" fieldPosition="0">
        <references count="2">
          <reference field="1" count="1">
            <x v="238"/>
          </reference>
          <reference field="2" count="0" selected="0"/>
        </references>
      </pivotArea>
    </format>
    <format dxfId="706">
      <pivotArea collapsedLevelsAreSubtotals="1" fieldPosition="0">
        <references count="2">
          <reference field="1" count="1">
            <x v="239"/>
          </reference>
          <reference field="2" count="0" selected="0"/>
        </references>
      </pivotArea>
    </format>
    <format dxfId="705">
      <pivotArea collapsedLevelsAreSubtotals="1" fieldPosition="0">
        <references count="2">
          <reference field="1" count="1">
            <x v="240"/>
          </reference>
          <reference field="2" count="0" selected="0"/>
        </references>
      </pivotArea>
    </format>
    <format dxfId="704">
      <pivotArea collapsedLevelsAreSubtotals="1" fieldPosition="0">
        <references count="2">
          <reference field="1" count="1">
            <x v="241"/>
          </reference>
          <reference field="2" count="0" selected="0"/>
        </references>
      </pivotArea>
    </format>
    <format dxfId="703">
      <pivotArea collapsedLevelsAreSubtotals="1" fieldPosition="0">
        <references count="2">
          <reference field="1" count="1">
            <x v="242"/>
          </reference>
          <reference field="2" count="0" selected="0"/>
        </references>
      </pivotArea>
    </format>
    <format dxfId="702">
      <pivotArea collapsedLevelsAreSubtotals="1" fieldPosition="0">
        <references count="2">
          <reference field="1" count="1">
            <x v="183"/>
          </reference>
          <reference field="2" count="1" selected="0">
            <x v="6"/>
          </reference>
        </references>
      </pivotArea>
    </format>
    <format dxfId="701">
      <pivotArea collapsedLevelsAreSubtotals="1" fieldPosition="0">
        <references count="2">
          <reference field="1" count="1">
            <x v="184"/>
          </reference>
          <reference field="2" count="1" selected="0">
            <x v="6"/>
          </reference>
        </references>
      </pivotArea>
    </format>
    <format dxfId="700">
      <pivotArea collapsedLevelsAreSubtotals="1" fieldPosition="0">
        <references count="2">
          <reference field="1" count="1">
            <x v="185"/>
          </reference>
          <reference field="2" count="1" selected="0">
            <x v="6"/>
          </reference>
        </references>
      </pivotArea>
    </format>
    <format dxfId="699">
      <pivotArea collapsedLevelsAreSubtotals="1" fieldPosition="0">
        <references count="2">
          <reference field="1" count="1">
            <x v="186"/>
          </reference>
          <reference field="2" count="1" selected="0">
            <x v="6"/>
          </reference>
        </references>
      </pivotArea>
    </format>
    <format dxfId="698">
      <pivotArea collapsedLevelsAreSubtotals="1" fieldPosition="0">
        <references count="2">
          <reference field="1" count="1">
            <x v="187"/>
          </reference>
          <reference field="2" count="1" selected="0">
            <x v="6"/>
          </reference>
        </references>
      </pivotArea>
    </format>
    <format dxfId="697">
      <pivotArea collapsedLevelsAreSubtotals="1" fieldPosition="0">
        <references count="2">
          <reference field="1" count="1">
            <x v="188"/>
          </reference>
          <reference field="2" count="1" selected="0">
            <x v="6"/>
          </reference>
        </references>
      </pivotArea>
    </format>
    <format dxfId="696">
      <pivotArea collapsedLevelsAreSubtotals="1" fieldPosition="0">
        <references count="2">
          <reference field="1" count="1">
            <x v="189"/>
          </reference>
          <reference field="2" count="1" selected="0">
            <x v="6"/>
          </reference>
        </references>
      </pivotArea>
    </format>
    <format dxfId="695">
      <pivotArea collapsedLevelsAreSubtotals="1" fieldPosition="0">
        <references count="2">
          <reference field="1" count="1">
            <x v="190"/>
          </reference>
          <reference field="2" count="1" selected="0">
            <x v="6"/>
          </reference>
        </references>
      </pivotArea>
    </format>
    <format dxfId="694">
      <pivotArea collapsedLevelsAreSubtotals="1" fieldPosition="0">
        <references count="2">
          <reference field="1" count="1">
            <x v="191"/>
          </reference>
          <reference field="2" count="1" selected="0">
            <x v="6"/>
          </reference>
        </references>
      </pivotArea>
    </format>
    <format dxfId="693">
      <pivotArea collapsedLevelsAreSubtotals="1" fieldPosition="0">
        <references count="2">
          <reference field="1" count="1">
            <x v="192"/>
          </reference>
          <reference field="2" count="1" selected="0">
            <x v="6"/>
          </reference>
        </references>
      </pivotArea>
    </format>
    <format dxfId="692">
      <pivotArea collapsedLevelsAreSubtotals="1" fieldPosition="0">
        <references count="2">
          <reference field="1" count="1">
            <x v="193"/>
          </reference>
          <reference field="2" count="1" selected="0">
            <x v="6"/>
          </reference>
        </references>
      </pivotArea>
    </format>
    <format dxfId="691">
      <pivotArea collapsedLevelsAreSubtotals="1" fieldPosition="0">
        <references count="2">
          <reference field="1" count="1">
            <x v="194"/>
          </reference>
          <reference field="2" count="1" selected="0">
            <x v="6"/>
          </reference>
        </references>
      </pivotArea>
    </format>
    <format dxfId="690">
      <pivotArea collapsedLevelsAreSubtotals="1" fieldPosition="0">
        <references count="2">
          <reference field="1" count="1">
            <x v="195"/>
          </reference>
          <reference field="2" count="1" selected="0">
            <x v="6"/>
          </reference>
        </references>
      </pivotArea>
    </format>
    <format dxfId="689">
      <pivotArea collapsedLevelsAreSubtotals="1" fieldPosition="0">
        <references count="2">
          <reference field="1" count="1">
            <x v="196"/>
          </reference>
          <reference field="2" count="1" selected="0">
            <x v="6"/>
          </reference>
        </references>
      </pivotArea>
    </format>
    <format dxfId="688">
      <pivotArea collapsedLevelsAreSubtotals="1" fieldPosition="0">
        <references count="2">
          <reference field="1" count="1">
            <x v="197"/>
          </reference>
          <reference field="2" count="1" selected="0">
            <x v="6"/>
          </reference>
        </references>
      </pivotArea>
    </format>
    <format dxfId="687">
      <pivotArea collapsedLevelsAreSubtotals="1" fieldPosition="0">
        <references count="2">
          <reference field="1" count="1">
            <x v="198"/>
          </reference>
          <reference field="2" count="1" selected="0">
            <x v="6"/>
          </reference>
        </references>
      </pivotArea>
    </format>
    <format dxfId="686">
      <pivotArea collapsedLevelsAreSubtotals="1" fieldPosition="0">
        <references count="2">
          <reference field="1" count="1">
            <x v="199"/>
          </reference>
          <reference field="2" count="1" selected="0">
            <x v="6"/>
          </reference>
        </references>
      </pivotArea>
    </format>
    <format dxfId="685">
      <pivotArea collapsedLevelsAreSubtotals="1" fieldPosition="0">
        <references count="2">
          <reference field="1" count="1">
            <x v="200"/>
          </reference>
          <reference field="2" count="1" selected="0">
            <x v="6"/>
          </reference>
        </references>
      </pivotArea>
    </format>
    <format dxfId="684">
      <pivotArea collapsedLevelsAreSubtotals="1" fieldPosition="0">
        <references count="2">
          <reference field="1" count="1">
            <x v="201"/>
          </reference>
          <reference field="2" count="1" selected="0">
            <x v="6"/>
          </reference>
        </references>
      </pivotArea>
    </format>
    <format dxfId="683">
      <pivotArea collapsedLevelsAreSubtotals="1" fieldPosition="0">
        <references count="2">
          <reference field="1" count="1">
            <x v="202"/>
          </reference>
          <reference field="2" count="1" selected="0">
            <x v="6"/>
          </reference>
        </references>
      </pivotArea>
    </format>
    <format dxfId="682">
      <pivotArea collapsedLevelsAreSubtotals="1" fieldPosition="0">
        <references count="2">
          <reference field="1" count="1">
            <x v="203"/>
          </reference>
          <reference field="2" count="1" selected="0">
            <x v="6"/>
          </reference>
        </references>
      </pivotArea>
    </format>
    <format dxfId="681">
      <pivotArea collapsedLevelsAreSubtotals="1" fieldPosition="0">
        <references count="2">
          <reference field="1" count="1">
            <x v="204"/>
          </reference>
          <reference field="2" count="1" selected="0">
            <x v="6"/>
          </reference>
        </references>
      </pivotArea>
    </format>
    <format dxfId="680">
      <pivotArea collapsedLevelsAreSubtotals="1" fieldPosition="0">
        <references count="2">
          <reference field="1" count="1">
            <x v="205"/>
          </reference>
          <reference field="2" count="1" selected="0">
            <x v="6"/>
          </reference>
        </references>
      </pivotArea>
    </format>
    <format dxfId="679">
      <pivotArea collapsedLevelsAreSubtotals="1" fieldPosition="0">
        <references count="2">
          <reference field="1" count="1">
            <x v="206"/>
          </reference>
          <reference field="2" count="1" selected="0">
            <x v="6"/>
          </reference>
        </references>
      </pivotArea>
    </format>
    <format dxfId="678">
      <pivotArea collapsedLevelsAreSubtotals="1" fieldPosition="0">
        <references count="2">
          <reference field="1" count="1">
            <x v="207"/>
          </reference>
          <reference field="2" count="1" selected="0">
            <x v="6"/>
          </reference>
        </references>
      </pivotArea>
    </format>
    <format dxfId="677">
      <pivotArea collapsedLevelsAreSubtotals="1" fieldPosition="0">
        <references count="2">
          <reference field="1" count="1">
            <x v="208"/>
          </reference>
          <reference field="2" count="1" selected="0">
            <x v="6"/>
          </reference>
        </references>
      </pivotArea>
    </format>
    <format dxfId="676">
      <pivotArea collapsedLevelsAreSubtotals="1" fieldPosition="0">
        <references count="2">
          <reference field="1" count="1">
            <x v="209"/>
          </reference>
          <reference field="2" count="1" selected="0">
            <x v="6"/>
          </reference>
        </references>
      </pivotArea>
    </format>
    <format dxfId="675">
      <pivotArea collapsedLevelsAreSubtotals="1" fieldPosition="0">
        <references count="2">
          <reference field="1" count="1">
            <x v="210"/>
          </reference>
          <reference field="2" count="1" selected="0">
            <x v="6"/>
          </reference>
        </references>
      </pivotArea>
    </format>
    <format dxfId="674">
      <pivotArea collapsedLevelsAreSubtotals="1" fieldPosition="0">
        <references count="2">
          <reference field="1" count="1">
            <x v="211"/>
          </reference>
          <reference field="2" count="1" selected="0">
            <x v="6"/>
          </reference>
        </references>
      </pivotArea>
    </format>
    <format dxfId="673">
      <pivotArea collapsedLevelsAreSubtotals="1" fieldPosition="0">
        <references count="2">
          <reference field="1" count="1">
            <x v="212"/>
          </reference>
          <reference field="2" count="1" selected="0">
            <x v="6"/>
          </reference>
        </references>
      </pivotArea>
    </format>
    <format dxfId="672">
      <pivotArea collapsedLevelsAreSubtotals="1" fieldPosition="0">
        <references count="2">
          <reference field="1" count="1">
            <x v="213"/>
          </reference>
          <reference field="2" count="1" selected="0">
            <x v="6"/>
          </reference>
        </references>
      </pivotArea>
    </format>
    <format dxfId="671">
      <pivotArea collapsedLevelsAreSubtotals="1" fieldPosition="0">
        <references count="1">
          <reference field="2" count="1">
            <x v="4"/>
          </reference>
        </references>
      </pivotArea>
    </format>
    <format dxfId="670">
      <pivotArea collapsedLevelsAreSubtotals="1" fieldPosition="0">
        <references count="2">
          <reference field="1" count="1">
            <x v="123"/>
          </reference>
          <reference field="2" count="1" selected="0">
            <x v="4"/>
          </reference>
        </references>
      </pivotArea>
    </format>
    <format dxfId="669">
      <pivotArea collapsedLevelsAreSubtotals="1" fieldPosition="0">
        <references count="2">
          <reference field="1" count="1">
            <x v="124"/>
          </reference>
          <reference field="2" count="1" selected="0">
            <x v="4"/>
          </reference>
        </references>
      </pivotArea>
    </format>
    <format dxfId="668">
      <pivotArea collapsedLevelsAreSubtotals="1" fieldPosition="0">
        <references count="2">
          <reference field="1" count="1">
            <x v="125"/>
          </reference>
          <reference field="2" count="1" selected="0">
            <x v="4"/>
          </reference>
        </references>
      </pivotArea>
    </format>
    <format dxfId="667">
      <pivotArea collapsedLevelsAreSubtotals="1" fieldPosition="0">
        <references count="2">
          <reference field="1" count="1">
            <x v="126"/>
          </reference>
          <reference field="2" count="1" selected="0">
            <x v="4"/>
          </reference>
        </references>
      </pivotArea>
    </format>
    <format dxfId="666">
      <pivotArea collapsedLevelsAreSubtotals="1" fieldPosition="0">
        <references count="2">
          <reference field="1" count="1">
            <x v="127"/>
          </reference>
          <reference field="2" count="1" selected="0">
            <x v="4"/>
          </reference>
        </references>
      </pivotArea>
    </format>
    <format dxfId="665">
      <pivotArea collapsedLevelsAreSubtotals="1" fieldPosition="0">
        <references count="2">
          <reference field="1" count="1">
            <x v="128"/>
          </reference>
          <reference field="2" count="1" selected="0">
            <x v="4"/>
          </reference>
        </references>
      </pivotArea>
    </format>
    <format dxfId="664">
      <pivotArea collapsedLevelsAreSubtotals="1" fieldPosition="0">
        <references count="2">
          <reference field="1" count="1">
            <x v="129"/>
          </reference>
          <reference field="2" count="1" selected="0">
            <x v="4"/>
          </reference>
        </references>
      </pivotArea>
    </format>
    <format dxfId="663">
      <pivotArea collapsedLevelsAreSubtotals="1" fieldPosition="0">
        <references count="2">
          <reference field="1" count="1">
            <x v="130"/>
          </reference>
          <reference field="2" count="1" selected="0">
            <x v="4"/>
          </reference>
        </references>
      </pivotArea>
    </format>
    <format dxfId="662">
      <pivotArea collapsedLevelsAreSubtotals="1" fieldPosition="0">
        <references count="2">
          <reference field="1" count="1">
            <x v="131"/>
          </reference>
          <reference field="2" count="1" selected="0">
            <x v="4"/>
          </reference>
        </references>
      </pivotArea>
    </format>
    <format dxfId="661">
      <pivotArea collapsedLevelsAreSubtotals="1" fieldPosition="0">
        <references count="2">
          <reference field="1" count="1">
            <x v="132"/>
          </reference>
          <reference field="2" count="1" selected="0">
            <x v="4"/>
          </reference>
        </references>
      </pivotArea>
    </format>
    <format dxfId="660">
      <pivotArea collapsedLevelsAreSubtotals="1" fieldPosition="0">
        <references count="2">
          <reference field="1" count="1">
            <x v="133"/>
          </reference>
          <reference field="2" count="1" selected="0">
            <x v="4"/>
          </reference>
        </references>
      </pivotArea>
    </format>
    <format dxfId="659">
      <pivotArea collapsedLevelsAreSubtotals="1" fieldPosition="0">
        <references count="2">
          <reference field="1" count="1">
            <x v="134"/>
          </reference>
          <reference field="2" count="1" selected="0">
            <x v="4"/>
          </reference>
        </references>
      </pivotArea>
    </format>
    <format dxfId="658">
      <pivotArea collapsedLevelsAreSubtotals="1" fieldPosition="0">
        <references count="2">
          <reference field="1" count="1">
            <x v="135"/>
          </reference>
          <reference field="2" count="1" selected="0">
            <x v="4"/>
          </reference>
        </references>
      </pivotArea>
    </format>
    <format dxfId="657">
      <pivotArea collapsedLevelsAreSubtotals="1" fieldPosition="0">
        <references count="2">
          <reference field="1" count="1">
            <x v="136"/>
          </reference>
          <reference field="2" count="1" selected="0">
            <x v="4"/>
          </reference>
        </references>
      </pivotArea>
    </format>
    <format dxfId="656">
      <pivotArea collapsedLevelsAreSubtotals="1" fieldPosition="0">
        <references count="2">
          <reference field="1" count="1">
            <x v="137"/>
          </reference>
          <reference field="2" count="1" selected="0">
            <x v="4"/>
          </reference>
        </references>
      </pivotArea>
    </format>
    <format dxfId="655">
      <pivotArea collapsedLevelsAreSubtotals="1" fieldPosition="0">
        <references count="2">
          <reference field="1" count="1">
            <x v="138"/>
          </reference>
          <reference field="2" count="1" selected="0">
            <x v="4"/>
          </reference>
        </references>
      </pivotArea>
    </format>
    <format dxfId="654">
      <pivotArea collapsedLevelsAreSubtotals="1" fieldPosition="0">
        <references count="2">
          <reference field="1" count="1">
            <x v="139"/>
          </reference>
          <reference field="2" count="1" selected="0">
            <x v="4"/>
          </reference>
        </references>
      </pivotArea>
    </format>
    <format dxfId="653">
      <pivotArea collapsedLevelsAreSubtotals="1" fieldPosition="0">
        <references count="2">
          <reference field="1" count="1">
            <x v="140"/>
          </reference>
          <reference field="2" count="1" selected="0">
            <x v="4"/>
          </reference>
        </references>
      </pivotArea>
    </format>
    <format dxfId="652">
      <pivotArea collapsedLevelsAreSubtotals="1" fieldPosition="0">
        <references count="2">
          <reference field="1" count="1">
            <x v="141"/>
          </reference>
          <reference field="2" count="1" selected="0">
            <x v="4"/>
          </reference>
        </references>
      </pivotArea>
    </format>
    <format dxfId="651">
      <pivotArea collapsedLevelsAreSubtotals="1" fieldPosition="0">
        <references count="2">
          <reference field="1" count="1">
            <x v="142"/>
          </reference>
          <reference field="2" count="1" selected="0">
            <x v="4"/>
          </reference>
        </references>
      </pivotArea>
    </format>
    <format dxfId="650">
      <pivotArea collapsedLevelsAreSubtotals="1" fieldPosition="0">
        <references count="2">
          <reference field="1" count="1">
            <x v="143"/>
          </reference>
          <reference field="2" count="1" selected="0">
            <x v="4"/>
          </reference>
        </references>
      </pivotArea>
    </format>
    <format dxfId="649">
      <pivotArea collapsedLevelsAreSubtotals="1" fieldPosition="0">
        <references count="2">
          <reference field="1" count="1">
            <x v="144"/>
          </reference>
          <reference field="2" count="1" selected="0">
            <x v="4"/>
          </reference>
        </references>
      </pivotArea>
    </format>
    <format dxfId="648">
      <pivotArea collapsedLevelsAreSubtotals="1" fieldPosition="0">
        <references count="2">
          <reference field="1" count="1">
            <x v="145"/>
          </reference>
          <reference field="2" count="1" selected="0">
            <x v="4"/>
          </reference>
        </references>
      </pivotArea>
    </format>
    <format dxfId="647">
      <pivotArea collapsedLevelsAreSubtotals="1" fieldPosition="0">
        <references count="2">
          <reference field="1" count="1">
            <x v="146"/>
          </reference>
          <reference field="2" count="1" selected="0">
            <x v="4"/>
          </reference>
        </references>
      </pivotArea>
    </format>
    <format dxfId="646">
      <pivotArea collapsedLevelsAreSubtotals="1" fieldPosition="0">
        <references count="2">
          <reference field="1" count="1">
            <x v="147"/>
          </reference>
          <reference field="2" count="1" selected="0">
            <x v="4"/>
          </reference>
        </references>
      </pivotArea>
    </format>
    <format dxfId="645">
      <pivotArea collapsedLevelsAreSubtotals="1" fieldPosition="0">
        <references count="2">
          <reference field="1" count="1">
            <x v="148"/>
          </reference>
          <reference field="2" count="1" selected="0">
            <x v="4"/>
          </reference>
        </references>
      </pivotArea>
    </format>
    <format dxfId="644">
      <pivotArea collapsedLevelsAreSubtotals="1" fieldPosition="0">
        <references count="2">
          <reference field="1" count="1">
            <x v="149"/>
          </reference>
          <reference field="2" count="1" selected="0">
            <x v="4"/>
          </reference>
        </references>
      </pivotArea>
    </format>
    <format dxfId="643">
      <pivotArea collapsedLevelsAreSubtotals="1" fieldPosition="0">
        <references count="2">
          <reference field="1" count="1">
            <x v="150"/>
          </reference>
          <reference field="2" count="1" selected="0">
            <x v="4"/>
          </reference>
        </references>
      </pivotArea>
    </format>
    <format dxfId="642">
      <pivotArea collapsedLevelsAreSubtotals="1" fieldPosition="0">
        <references count="2">
          <reference field="1" count="1">
            <x v="151"/>
          </reference>
          <reference field="2" count="1" selected="0">
            <x v="4"/>
          </reference>
        </references>
      </pivotArea>
    </format>
    <format dxfId="641">
      <pivotArea collapsedLevelsAreSubtotals="1" fieldPosition="0">
        <references count="2">
          <reference field="1" count="1">
            <x v="152"/>
          </reference>
          <reference field="2" count="1" selected="0">
            <x v="4"/>
          </reference>
        </references>
      </pivotArea>
    </format>
    <format dxfId="640">
      <pivotArea collapsedLevelsAreSubtotals="1" fieldPosition="0">
        <references count="1">
          <reference field="2" count="1">
            <x v="0"/>
          </reference>
        </references>
      </pivotArea>
    </format>
    <format dxfId="639">
      <pivotArea collapsedLevelsAreSubtotals="1" fieldPosition="0">
        <references count="2">
          <reference field="1" count="1">
            <x v="0"/>
          </reference>
          <reference field="2" count="1" selected="0">
            <x v="0"/>
          </reference>
        </references>
      </pivotArea>
    </format>
    <format dxfId="638">
      <pivotArea collapsedLevelsAreSubtotals="1" fieldPosition="0">
        <references count="2">
          <reference field="1" count="1">
            <x v="1"/>
          </reference>
          <reference field="2" count="1" selected="0">
            <x v="0"/>
          </reference>
        </references>
      </pivotArea>
    </format>
    <format dxfId="637">
      <pivotArea collapsedLevelsAreSubtotals="1" fieldPosition="0">
        <references count="2">
          <reference field="1" count="1">
            <x v="2"/>
          </reference>
          <reference field="2" count="1" selected="0">
            <x v="0"/>
          </reference>
        </references>
      </pivotArea>
    </format>
    <format dxfId="636">
      <pivotArea collapsedLevelsAreSubtotals="1" fieldPosition="0">
        <references count="2">
          <reference field="1" count="1">
            <x v="3"/>
          </reference>
          <reference field="2" count="1" selected="0">
            <x v="0"/>
          </reference>
        </references>
      </pivotArea>
    </format>
    <format dxfId="635">
      <pivotArea collapsedLevelsAreSubtotals="1" fieldPosition="0">
        <references count="2">
          <reference field="1" count="1">
            <x v="4"/>
          </reference>
          <reference field="2" count="1" selected="0">
            <x v="0"/>
          </reference>
        </references>
      </pivotArea>
    </format>
    <format dxfId="634">
      <pivotArea collapsedLevelsAreSubtotals="1" fieldPosition="0">
        <references count="2">
          <reference field="1" count="1">
            <x v="5"/>
          </reference>
          <reference field="2" count="1" selected="0">
            <x v="0"/>
          </reference>
        </references>
      </pivotArea>
    </format>
    <format dxfId="633">
      <pivotArea collapsedLevelsAreSubtotals="1" fieldPosition="0">
        <references count="2">
          <reference field="1" count="1">
            <x v="6"/>
          </reference>
          <reference field="2" count="1" selected="0">
            <x v="0"/>
          </reference>
        </references>
      </pivotArea>
    </format>
    <format dxfId="632">
      <pivotArea collapsedLevelsAreSubtotals="1" fieldPosition="0">
        <references count="2">
          <reference field="1" count="1">
            <x v="7"/>
          </reference>
          <reference field="2" count="1" selected="0">
            <x v="0"/>
          </reference>
        </references>
      </pivotArea>
    </format>
    <format dxfId="631">
      <pivotArea collapsedLevelsAreSubtotals="1" fieldPosition="0">
        <references count="2">
          <reference field="1" count="1">
            <x v="8"/>
          </reference>
          <reference field="2" count="1" selected="0">
            <x v="0"/>
          </reference>
        </references>
      </pivotArea>
    </format>
    <format dxfId="630">
      <pivotArea collapsedLevelsAreSubtotals="1" fieldPosition="0">
        <references count="2">
          <reference field="1" count="1">
            <x v="9"/>
          </reference>
          <reference field="2" count="1" selected="0">
            <x v="0"/>
          </reference>
        </references>
      </pivotArea>
    </format>
    <format dxfId="629">
      <pivotArea collapsedLevelsAreSubtotals="1" fieldPosition="0">
        <references count="2">
          <reference field="1" count="1">
            <x v="10"/>
          </reference>
          <reference field="2" count="1" selected="0">
            <x v="0"/>
          </reference>
        </references>
      </pivotArea>
    </format>
    <format dxfId="628">
      <pivotArea collapsedLevelsAreSubtotals="1" fieldPosition="0">
        <references count="2">
          <reference field="1" count="1">
            <x v="11"/>
          </reference>
          <reference field="2" count="1" selected="0">
            <x v="0"/>
          </reference>
        </references>
      </pivotArea>
    </format>
    <format dxfId="627">
      <pivotArea collapsedLevelsAreSubtotals="1" fieldPosition="0">
        <references count="2">
          <reference field="1" count="1">
            <x v="12"/>
          </reference>
          <reference field="2" count="1" selected="0">
            <x v="0"/>
          </reference>
        </references>
      </pivotArea>
    </format>
    <format dxfId="626">
      <pivotArea collapsedLevelsAreSubtotals="1" fieldPosition="0">
        <references count="2">
          <reference field="1" count="1">
            <x v="13"/>
          </reference>
          <reference field="2" count="1" selected="0">
            <x v="0"/>
          </reference>
        </references>
      </pivotArea>
    </format>
    <format dxfId="625">
      <pivotArea collapsedLevelsAreSubtotals="1" fieldPosition="0">
        <references count="2">
          <reference field="1" count="1">
            <x v="14"/>
          </reference>
          <reference field="2" count="1" selected="0">
            <x v="0"/>
          </reference>
        </references>
      </pivotArea>
    </format>
    <format dxfId="624">
      <pivotArea collapsedLevelsAreSubtotals="1" fieldPosition="0">
        <references count="2">
          <reference field="1" count="1">
            <x v="15"/>
          </reference>
          <reference field="2" count="1" selected="0">
            <x v="0"/>
          </reference>
        </references>
      </pivotArea>
    </format>
    <format dxfId="623">
      <pivotArea collapsedLevelsAreSubtotals="1" fieldPosition="0">
        <references count="2">
          <reference field="1" count="1">
            <x v="16"/>
          </reference>
          <reference field="2" count="1" selected="0">
            <x v="0"/>
          </reference>
        </references>
      </pivotArea>
    </format>
    <format dxfId="622">
      <pivotArea collapsedLevelsAreSubtotals="1" fieldPosition="0">
        <references count="2">
          <reference field="1" count="1">
            <x v="17"/>
          </reference>
          <reference field="2" count="1" selected="0">
            <x v="0"/>
          </reference>
        </references>
      </pivotArea>
    </format>
    <format dxfId="621">
      <pivotArea collapsedLevelsAreSubtotals="1" fieldPosition="0">
        <references count="2">
          <reference field="1" count="1">
            <x v="18"/>
          </reference>
          <reference field="2" count="1" selected="0">
            <x v="0"/>
          </reference>
        </references>
      </pivotArea>
    </format>
    <format dxfId="620">
      <pivotArea collapsedLevelsAreSubtotals="1" fieldPosition="0">
        <references count="2">
          <reference field="1" count="1">
            <x v="19"/>
          </reference>
          <reference field="2" count="1" selected="0">
            <x v="0"/>
          </reference>
        </references>
      </pivotArea>
    </format>
    <format dxfId="619">
      <pivotArea collapsedLevelsAreSubtotals="1" fieldPosition="0">
        <references count="2">
          <reference field="1" count="1">
            <x v="20"/>
          </reference>
          <reference field="2" count="1" selected="0">
            <x v="0"/>
          </reference>
        </references>
      </pivotArea>
    </format>
    <format dxfId="618">
      <pivotArea collapsedLevelsAreSubtotals="1" fieldPosition="0">
        <references count="2">
          <reference field="1" count="1">
            <x v="21"/>
          </reference>
          <reference field="2" count="1" selected="0">
            <x v="0"/>
          </reference>
        </references>
      </pivotArea>
    </format>
    <format dxfId="617">
      <pivotArea collapsedLevelsAreSubtotals="1" fieldPosition="0">
        <references count="2">
          <reference field="1" count="1">
            <x v="22"/>
          </reference>
          <reference field="2" count="1" selected="0">
            <x v="0"/>
          </reference>
        </references>
      </pivotArea>
    </format>
    <format dxfId="616">
      <pivotArea collapsedLevelsAreSubtotals="1" fieldPosition="0">
        <references count="2">
          <reference field="1" count="1">
            <x v="23"/>
          </reference>
          <reference field="2" count="1" selected="0">
            <x v="0"/>
          </reference>
        </references>
      </pivotArea>
    </format>
    <format dxfId="615">
      <pivotArea collapsedLevelsAreSubtotals="1" fieldPosition="0">
        <references count="2">
          <reference field="1" count="1">
            <x v="24"/>
          </reference>
          <reference field="2" count="1" selected="0">
            <x v="0"/>
          </reference>
        </references>
      </pivotArea>
    </format>
    <format dxfId="614">
      <pivotArea collapsedLevelsAreSubtotals="1" fieldPosition="0">
        <references count="2">
          <reference field="1" count="1">
            <x v="25"/>
          </reference>
          <reference field="2" count="1" selected="0">
            <x v="0"/>
          </reference>
        </references>
      </pivotArea>
    </format>
    <format dxfId="613">
      <pivotArea collapsedLevelsAreSubtotals="1" fieldPosition="0">
        <references count="2">
          <reference field="1" count="1">
            <x v="26"/>
          </reference>
          <reference field="2" count="1" selected="0">
            <x v="0"/>
          </reference>
        </references>
      </pivotArea>
    </format>
    <format dxfId="612">
      <pivotArea collapsedLevelsAreSubtotals="1" fieldPosition="0">
        <references count="2">
          <reference field="1" count="1">
            <x v="27"/>
          </reference>
          <reference field="2" count="1" selected="0">
            <x v="0"/>
          </reference>
        </references>
      </pivotArea>
    </format>
    <format dxfId="611">
      <pivotArea collapsedLevelsAreSubtotals="1" fieldPosition="0">
        <references count="2">
          <reference field="1" count="1">
            <x v="28"/>
          </reference>
          <reference field="2" count="1" selected="0">
            <x v="0"/>
          </reference>
        </references>
      </pivotArea>
    </format>
    <format dxfId="610">
      <pivotArea collapsedLevelsAreSubtotals="1" fieldPosition="0">
        <references count="2">
          <reference field="1" count="1">
            <x v="29"/>
          </reference>
          <reference field="2" count="1" selected="0">
            <x v="0"/>
          </reference>
        </references>
      </pivotArea>
    </format>
    <format dxfId="609">
      <pivotArea collapsedLevelsAreSubtotals="1" fieldPosition="0">
        <references count="2">
          <reference field="1" count="1">
            <x v="30"/>
          </reference>
          <reference field="2" count="1" selected="0">
            <x v="0"/>
          </reference>
        </references>
      </pivotArea>
    </format>
    <format dxfId="608">
      <pivotArea collapsedLevelsAreSubtotals="1" fieldPosition="0">
        <references count="1">
          <reference field="2" count="1">
            <x v="5"/>
          </reference>
        </references>
      </pivotArea>
    </format>
    <format dxfId="607">
      <pivotArea collapsedLevelsAreSubtotals="1" fieldPosition="0">
        <references count="2">
          <reference field="1" count="1">
            <x v="153"/>
          </reference>
          <reference field="2" count="1" selected="0">
            <x v="5"/>
          </reference>
        </references>
      </pivotArea>
    </format>
    <format dxfId="606">
      <pivotArea collapsedLevelsAreSubtotals="1" fieldPosition="0">
        <references count="2">
          <reference field="1" count="1">
            <x v="154"/>
          </reference>
          <reference field="2" count="1" selected="0">
            <x v="5"/>
          </reference>
        </references>
      </pivotArea>
    </format>
    <format dxfId="605">
      <pivotArea collapsedLevelsAreSubtotals="1" fieldPosition="0">
        <references count="2">
          <reference field="1" count="1">
            <x v="155"/>
          </reference>
          <reference field="2" count="1" selected="0">
            <x v="5"/>
          </reference>
        </references>
      </pivotArea>
    </format>
    <format dxfId="604">
      <pivotArea collapsedLevelsAreSubtotals="1" fieldPosition="0">
        <references count="2">
          <reference field="1" count="1">
            <x v="156"/>
          </reference>
          <reference field="2" count="1" selected="0">
            <x v="5"/>
          </reference>
        </references>
      </pivotArea>
    </format>
    <format dxfId="603">
      <pivotArea collapsedLevelsAreSubtotals="1" fieldPosition="0">
        <references count="2">
          <reference field="1" count="1">
            <x v="157"/>
          </reference>
          <reference field="2" count="1" selected="0">
            <x v="5"/>
          </reference>
        </references>
      </pivotArea>
    </format>
    <format dxfId="602">
      <pivotArea collapsedLevelsAreSubtotals="1" fieldPosition="0">
        <references count="2">
          <reference field="1" count="1">
            <x v="158"/>
          </reference>
          <reference field="2" count="1" selected="0">
            <x v="5"/>
          </reference>
        </references>
      </pivotArea>
    </format>
    <format dxfId="601">
      <pivotArea collapsedLevelsAreSubtotals="1" fieldPosition="0">
        <references count="2">
          <reference field="1" count="1">
            <x v="159"/>
          </reference>
          <reference field="2" count="1" selected="0">
            <x v="5"/>
          </reference>
        </references>
      </pivotArea>
    </format>
    <format dxfId="600">
      <pivotArea collapsedLevelsAreSubtotals="1" fieldPosition="0">
        <references count="2">
          <reference field="1" count="1">
            <x v="160"/>
          </reference>
          <reference field="2" count="1" selected="0">
            <x v="5"/>
          </reference>
        </references>
      </pivotArea>
    </format>
    <format dxfId="599">
      <pivotArea collapsedLevelsAreSubtotals="1" fieldPosition="0">
        <references count="2">
          <reference field="1" count="1">
            <x v="161"/>
          </reference>
          <reference field="2" count="1" selected="0">
            <x v="5"/>
          </reference>
        </references>
      </pivotArea>
    </format>
    <format dxfId="598">
      <pivotArea collapsedLevelsAreSubtotals="1" fieldPosition="0">
        <references count="2">
          <reference field="1" count="1">
            <x v="162"/>
          </reference>
          <reference field="2" count="1" selected="0">
            <x v="5"/>
          </reference>
        </references>
      </pivotArea>
    </format>
    <format dxfId="597">
      <pivotArea collapsedLevelsAreSubtotals="1" fieldPosition="0">
        <references count="2">
          <reference field="1" count="1">
            <x v="163"/>
          </reference>
          <reference field="2" count="1" selected="0">
            <x v="5"/>
          </reference>
        </references>
      </pivotArea>
    </format>
    <format dxfId="596">
      <pivotArea collapsedLevelsAreSubtotals="1" fieldPosition="0">
        <references count="2">
          <reference field="1" count="1">
            <x v="164"/>
          </reference>
          <reference field="2" count="1" selected="0">
            <x v="5"/>
          </reference>
        </references>
      </pivotArea>
    </format>
    <format dxfId="595">
      <pivotArea collapsedLevelsAreSubtotals="1" fieldPosition="0">
        <references count="2">
          <reference field="1" count="1">
            <x v="165"/>
          </reference>
          <reference field="2" count="1" selected="0">
            <x v="5"/>
          </reference>
        </references>
      </pivotArea>
    </format>
    <format dxfId="594">
      <pivotArea collapsedLevelsAreSubtotals="1" fieldPosition="0">
        <references count="2">
          <reference field="1" count="1">
            <x v="166"/>
          </reference>
          <reference field="2" count="1" selected="0">
            <x v="5"/>
          </reference>
        </references>
      </pivotArea>
    </format>
    <format dxfId="593">
      <pivotArea collapsedLevelsAreSubtotals="1" fieldPosition="0">
        <references count="2">
          <reference field="1" count="1">
            <x v="167"/>
          </reference>
          <reference field="2" count="1" selected="0">
            <x v="5"/>
          </reference>
        </references>
      </pivotArea>
    </format>
    <format dxfId="592">
      <pivotArea collapsedLevelsAreSubtotals="1" fieldPosition="0">
        <references count="2">
          <reference field="1" count="1">
            <x v="168"/>
          </reference>
          <reference field="2" count="1" selected="0">
            <x v="5"/>
          </reference>
        </references>
      </pivotArea>
    </format>
    <format dxfId="591">
      <pivotArea collapsedLevelsAreSubtotals="1" fieldPosition="0">
        <references count="2">
          <reference field="1" count="1">
            <x v="169"/>
          </reference>
          <reference field="2" count="1" selected="0">
            <x v="5"/>
          </reference>
        </references>
      </pivotArea>
    </format>
    <format dxfId="590">
      <pivotArea collapsedLevelsAreSubtotals="1" fieldPosition="0">
        <references count="2">
          <reference field="1" count="1">
            <x v="170"/>
          </reference>
          <reference field="2" count="1" selected="0">
            <x v="5"/>
          </reference>
        </references>
      </pivotArea>
    </format>
    <format dxfId="589">
      <pivotArea collapsedLevelsAreSubtotals="1" fieldPosition="0">
        <references count="2">
          <reference field="1" count="1">
            <x v="171"/>
          </reference>
          <reference field="2" count="1" selected="0">
            <x v="5"/>
          </reference>
        </references>
      </pivotArea>
    </format>
    <format dxfId="588">
      <pivotArea collapsedLevelsAreSubtotals="1" fieldPosition="0">
        <references count="2">
          <reference field="1" count="1">
            <x v="172"/>
          </reference>
          <reference field="2" count="1" selected="0">
            <x v="5"/>
          </reference>
        </references>
      </pivotArea>
    </format>
    <format dxfId="587">
      <pivotArea collapsedLevelsAreSubtotals="1" fieldPosition="0">
        <references count="2">
          <reference field="1" count="1">
            <x v="173"/>
          </reference>
          <reference field="2" count="1" selected="0">
            <x v="5"/>
          </reference>
        </references>
      </pivotArea>
    </format>
    <format dxfId="586">
      <pivotArea collapsedLevelsAreSubtotals="1" fieldPosition="0">
        <references count="2">
          <reference field="1" count="1">
            <x v="174"/>
          </reference>
          <reference field="2" count="1" selected="0">
            <x v="5"/>
          </reference>
        </references>
      </pivotArea>
    </format>
    <format dxfId="585">
      <pivotArea collapsedLevelsAreSubtotals="1" fieldPosition="0">
        <references count="2">
          <reference field="1" count="1">
            <x v="175"/>
          </reference>
          <reference field="2" count="1" selected="0">
            <x v="5"/>
          </reference>
        </references>
      </pivotArea>
    </format>
    <format dxfId="584">
      <pivotArea collapsedLevelsAreSubtotals="1" fieldPosition="0">
        <references count="2">
          <reference field="1" count="1">
            <x v="176"/>
          </reference>
          <reference field="2" count="1" selected="0">
            <x v="5"/>
          </reference>
        </references>
      </pivotArea>
    </format>
    <format dxfId="583">
      <pivotArea collapsedLevelsAreSubtotals="1" fieldPosition="0">
        <references count="2">
          <reference field="1" count="1">
            <x v="177"/>
          </reference>
          <reference field="2" count="1" selected="0">
            <x v="5"/>
          </reference>
        </references>
      </pivotArea>
    </format>
    <format dxfId="582">
      <pivotArea collapsedLevelsAreSubtotals="1" fieldPosition="0">
        <references count="2">
          <reference field="1" count="1">
            <x v="178"/>
          </reference>
          <reference field="2" count="1" selected="0">
            <x v="5"/>
          </reference>
        </references>
      </pivotArea>
    </format>
    <format dxfId="581">
      <pivotArea collapsedLevelsAreSubtotals="1" fieldPosition="0">
        <references count="2">
          <reference field="1" count="1">
            <x v="179"/>
          </reference>
          <reference field="2" count="1" selected="0">
            <x v="5"/>
          </reference>
        </references>
      </pivotArea>
    </format>
    <format dxfId="580">
      <pivotArea collapsedLevelsAreSubtotals="1" fieldPosition="0">
        <references count="2">
          <reference field="1" count="1">
            <x v="180"/>
          </reference>
          <reference field="2" count="1" selected="0">
            <x v="5"/>
          </reference>
        </references>
      </pivotArea>
    </format>
    <format dxfId="579">
      <pivotArea collapsedLevelsAreSubtotals="1" fieldPosition="0">
        <references count="2">
          <reference field="1" count="1">
            <x v="181"/>
          </reference>
          <reference field="2" count="1" selected="0">
            <x v="5"/>
          </reference>
        </references>
      </pivotArea>
    </format>
    <format dxfId="578">
      <pivotArea collapsedLevelsAreSubtotals="1" fieldPosition="0">
        <references count="2">
          <reference field="1" count="1">
            <x v="182"/>
          </reference>
          <reference field="2" count="1" selected="0">
            <x v="5"/>
          </reference>
        </references>
      </pivotArea>
    </format>
    <format dxfId="577">
      <pivotArea collapsedLevelsAreSubtotals="1" fieldPosition="0">
        <references count="1">
          <reference field="2" count="1">
            <x v="3"/>
          </reference>
        </references>
      </pivotArea>
    </format>
    <format dxfId="576">
      <pivotArea collapsedLevelsAreSubtotals="1" fieldPosition="0">
        <references count="2">
          <reference field="1" count="1">
            <x v="92"/>
          </reference>
          <reference field="2" count="1" selected="0">
            <x v="3"/>
          </reference>
        </references>
      </pivotArea>
    </format>
    <format dxfId="575">
      <pivotArea collapsedLevelsAreSubtotals="1" fieldPosition="0">
        <references count="2">
          <reference field="1" count="1">
            <x v="93"/>
          </reference>
          <reference field="2" count="1" selected="0">
            <x v="3"/>
          </reference>
        </references>
      </pivotArea>
    </format>
    <format dxfId="574">
      <pivotArea collapsedLevelsAreSubtotals="1" fieldPosition="0">
        <references count="2">
          <reference field="1" count="1">
            <x v="94"/>
          </reference>
          <reference field="2" count="1" selected="0">
            <x v="3"/>
          </reference>
        </references>
      </pivotArea>
    </format>
    <format dxfId="573">
      <pivotArea collapsedLevelsAreSubtotals="1" fieldPosition="0">
        <references count="2">
          <reference field="1" count="1">
            <x v="95"/>
          </reference>
          <reference field="2" count="1" selected="0">
            <x v="3"/>
          </reference>
        </references>
      </pivotArea>
    </format>
    <format dxfId="572">
      <pivotArea collapsedLevelsAreSubtotals="1" fieldPosition="0">
        <references count="2">
          <reference field="1" count="1">
            <x v="96"/>
          </reference>
          <reference field="2" count="1" selected="0">
            <x v="3"/>
          </reference>
        </references>
      </pivotArea>
    </format>
    <format dxfId="571">
      <pivotArea collapsedLevelsAreSubtotals="1" fieldPosition="0">
        <references count="2">
          <reference field="1" count="1">
            <x v="97"/>
          </reference>
          <reference field="2" count="1" selected="0">
            <x v="3"/>
          </reference>
        </references>
      </pivotArea>
    </format>
    <format dxfId="570">
      <pivotArea collapsedLevelsAreSubtotals="1" fieldPosition="0">
        <references count="2">
          <reference field="1" count="1">
            <x v="98"/>
          </reference>
          <reference field="2" count="1" selected="0">
            <x v="3"/>
          </reference>
        </references>
      </pivotArea>
    </format>
    <format dxfId="569">
      <pivotArea collapsedLevelsAreSubtotals="1" fieldPosition="0">
        <references count="2">
          <reference field="1" count="1">
            <x v="99"/>
          </reference>
          <reference field="2" count="1" selected="0">
            <x v="3"/>
          </reference>
        </references>
      </pivotArea>
    </format>
    <format dxfId="568">
      <pivotArea collapsedLevelsAreSubtotals="1" fieldPosition="0">
        <references count="2">
          <reference field="1" count="1">
            <x v="100"/>
          </reference>
          <reference field="2" count="1" selected="0">
            <x v="3"/>
          </reference>
        </references>
      </pivotArea>
    </format>
    <format dxfId="567">
      <pivotArea collapsedLevelsAreSubtotals="1" fieldPosition="0">
        <references count="2">
          <reference field="1" count="1">
            <x v="101"/>
          </reference>
          <reference field="2" count="1" selected="0">
            <x v="3"/>
          </reference>
        </references>
      </pivotArea>
    </format>
    <format dxfId="566">
      <pivotArea collapsedLevelsAreSubtotals="1" fieldPosition="0">
        <references count="2">
          <reference field="1" count="1">
            <x v="102"/>
          </reference>
          <reference field="2" count="1" selected="0">
            <x v="3"/>
          </reference>
        </references>
      </pivotArea>
    </format>
    <format dxfId="565">
      <pivotArea collapsedLevelsAreSubtotals="1" fieldPosition="0">
        <references count="2">
          <reference field="1" count="1">
            <x v="103"/>
          </reference>
          <reference field="2" count="1" selected="0">
            <x v="3"/>
          </reference>
        </references>
      </pivotArea>
    </format>
    <format dxfId="564">
      <pivotArea collapsedLevelsAreSubtotals="1" fieldPosition="0">
        <references count="2">
          <reference field="1" count="1">
            <x v="104"/>
          </reference>
          <reference field="2" count="1" selected="0">
            <x v="3"/>
          </reference>
        </references>
      </pivotArea>
    </format>
    <format dxfId="563">
      <pivotArea collapsedLevelsAreSubtotals="1" fieldPosition="0">
        <references count="2">
          <reference field="1" count="1">
            <x v="105"/>
          </reference>
          <reference field="2" count="1" selected="0">
            <x v="3"/>
          </reference>
        </references>
      </pivotArea>
    </format>
    <format dxfId="562">
      <pivotArea collapsedLevelsAreSubtotals="1" fieldPosition="0">
        <references count="2">
          <reference field="1" count="1">
            <x v="106"/>
          </reference>
          <reference field="2" count="1" selected="0">
            <x v="3"/>
          </reference>
        </references>
      </pivotArea>
    </format>
    <format dxfId="561">
      <pivotArea collapsedLevelsAreSubtotals="1" fieldPosition="0">
        <references count="2">
          <reference field="1" count="1">
            <x v="107"/>
          </reference>
          <reference field="2" count="1" selected="0">
            <x v="3"/>
          </reference>
        </references>
      </pivotArea>
    </format>
    <format dxfId="560">
      <pivotArea collapsedLevelsAreSubtotals="1" fieldPosition="0">
        <references count="2">
          <reference field="1" count="1">
            <x v="108"/>
          </reference>
          <reference field="2" count="1" selected="0">
            <x v="3"/>
          </reference>
        </references>
      </pivotArea>
    </format>
    <format dxfId="559">
      <pivotArea collapsedLevelsAreSubtotals="1" fieldPosition="0">
        <references count="2">
          <reference field="1" count="1">
            <x v="109"/>
          </reference>
          <reference field="2" count="1" selected="0">
            <x v="3"/>
          </reference>
        </references>
      </pivotArea>
    </format>
    <format dxfId="558">
      <pivotArea collapsedLevelsAreSubtotals="1" fieldPosition="0">
        <references count="2">
          <reference field="1" count="1">
            <x v="110"/>
          </reference>
          <reference field="2" count="1" selected="0">
            <x v="3"/>
          </reference>
        </references>
      </pivotArea>
    </format>
    <format dxfId="557">
      <pivotArea collapsedLevelsAreSubtotals="1" fieldPosition="0">
        <references count="2">
          <reference field="1" count="1">
            <x v="111"/>
          </reference>
          <reference field="2" count="1" selected="0">
            <x v="3"/>
          </reference>
        </references>
      </pivotArea>
    </format>
    <format dxfId="556">
      <pivotArea collapsedLevelsAreSubtotals="1" fieldPosition="0">
        <references count="2">
          <reference field="1" count="1">
            <x v="112"/>
          </reference>
          <reference field="2" count="1" selected="0">
            <x v="3"/>
          </reference>
        </references>
      </pivotArea>
    </format>
    <format dxfId="555">
      <pivotArea collapsedLevelsAreSubtotals="1" fieldPosition="0">
        <references count="2">
          <reference field="1" count="1">
            <x v="113"/>
          </reference>
          <reference field="2" count="1" selected="0">
            <x v="3"/>
          </reference>
        </references>
      </pivotArea>
    </format>
    <format dxfId="554">
      <pivotArea collapsedLevelsAreSubtotals="1" fieldPosition="0">
        <references count="2">
          <reference field="1" count="1">
            <x v="114"/>
          </reference>
          <reference field="2" count="1" selected="0">
            <x v="3"/>
          </reference>
        </references>
      </pivotArea>
    </format>
    <format dxfId="553">
      <pivotArea collapsedLevelsAreSubtotals="1" fieldPosition="0">
        <references count="2">
          <reference field="1" count="1">
            <x v="115"/>
          </reference>
          <reference field="2" count="1" selected="0">
            <x v="3"/>
          </reference>
        </references>
      </pivotArea>
    </format>
    <format dxfId="552">
      <pivotArea collapsedLevelsAreSubtotals="1" fieldPosition="0">
        <references count="2">
          <reference field="1" count="1">
            <x v="116"/>
          </reference>
          <reference field="2" count="1" selected="0">
            <x v="3"/>
          </reference>
        </references>
      </pivotArea>
    </format>
    <format dxfId="551">
      <pivotArea collapsedLevelsAreSubtotals="1" fieldPosition="0">
        <references count="2">
          <reference field="1" count="1">
            <x v="117"/>
          </reference>
          <reference field="2" count="1" selected="0">
            <x v="3"/>
          </reference>
        </references>
      </pivotArea>
    </format>
    <format dxfId="550">
      <pivotArea collapsedLevelsAreSubtotals="1" fieldPosition="0">
        <references count="2">
          <reference field="1" count="1">
            <x v="118"/>
          </reference>
          <reference field="2" count="1" selected="0">
            <x v="3"/>
          </reference>
        </references>
      </pivotArea>
    </format>
    <format dxfId="549">
      <pivotArea collapsedLevelsAreSubtotals="1" fieldPosition="0">
        <references count="2">
          <reference field="1" count="1">
            <x v="119"/>
          </reference>
          <reference field="2" count="1" selected="0">
            <x v="3"/>
          </reference>
        </references>
      </pivotArea>
    </format>
    <format dxfId="548">
      <pivotArea collapsedLevelsAreSubtotals="1" fieldPosition="0">
        <references count="2">
          <reference field="1" count="1">
            <x v="120"/>
          </reference>
          <reference field="2" count="1" selected="0">
            <x v="3"/>
          </reference>
        </references>
      </pivotArea>
    </format>
    <format dxfId="547">
      <pivotArea collapsedLevelsAreSubtotals="1" fieldPosition="0">
        <references count="2">
          <reference field="1" count="1">
            <x v="121"/>
          </reference>
          <reference field="2" count="1" selected="0">
            <x v="3"/>
          </reference>
        </references>
      </pivotArea>
    </format>
    <format dxfId="546">
      <pivotArea collapsedLevelsAreSubtotals="1" fieldPosition="0">
        <references count="2">
          <reference field="1" count="1">
            <x v="122"/>
          </reference>
          <reference field="2" count="1" selected="0">
            <x v="3"/>
          </reference>
        </references>
      </pivotArea>
    </format>
    <format dxfId="545">
      <pivotArea collapsedLevelsAreSubtotals="1" fieldPosition="0">
        <references count="1">
          <reference field="2" count="1">
            <x v="2"/>
          </reference>
        </references>
      </pivotArea>
    </format>
    <format dxfId="544">
      <pivotArea collapsedLevelsAreSubtotals="1" fieldPosition="0">
        <references count="2">
          <reference field="1" count="1">
            <x v="61"/>
          </reference>
          <reference field="2" count="1" selected="0">
            <x v="2"/>
          </reference>
        </references>
      </pivotArea>
    </format>
    <format dxfId="543">
      <pivotArea collapsedLevelsAreSubtotals="1" fieldPosition="0">
        <references count="2">
          <reference field="1" count="1">
            <x v="62"/>
          </reference>
          <reference field="2" count="1" selected="0">
            <x v="2"/>
          </reference>
        </references>
      </pivotArea>
    </format>
    <format dxfId="542">
      <pivotArea collapsedLevelsAreSubtotals="1" fieldPosition="0">
        <references count="2">
          <reference field="1" count="1">
            <x v="63"/>
          </reference>
          <reference field="2" count="1" selected="0">
            <x v="2"/>
          </reference>
        </references>
      </pivotArea>
    </format>
    <format dxfId="541">
      <pivotArea collapsedLevelsAreSubtotals="1" fieldPosition="0">
        <references count="2">
          <reference field="1" count="1">
            <x v="64"/>
          </reference>
          <reference field="2" count="1" selected="0">
            <x v="2"/>
          </reference>
        </references>
      </pivotArea>
    </format>
    <format dxfId="540">
      <pivotArea collapsedLevelsAreSubtotals="1" fieldPosition="0">
        <references count="2">
          <reference field="1" count="1">
            <x v="65"/>
          </reference>
          <reference field="2" count="1" selected="0">
            <x v="2"/>
          </reference>
        </references>
      </pivotArea>
    </format>
    <format dxfId="539">
      <pivotArea collapsedLevelsAreSubtotals="1" fieldPosition="0">
        <references count="2">
          <reference field="1" count="1">
            <x v="66"/>
          </reference>
          <reference field="2" count="1" selected="0">
            <x v="2"/>
          </reference>
        </references>
      </pivotArea>
    </format>
    <format dxfId="538">
      <pivotArea collapsedLevelsAreSubtotals="1" fieldPosition="0">
        <references count="2">
          <reference field="1" count="1">
            <x v="67"/>
          </reference>
          <reference field="2" count="1" selected="0">
            <x v="2"/>
          </reference>
        </references>
      </pivotArea>
    </format>
    <format dxfId="537">
      <pivotArea collapsedLevelsAreSubtotals="1" fieldPosition="0">
        <references count="2">
          <reference field="1" count="1">
            <x v="68"/>
          </reference>
          <reference field="2" count="1" selected="0">
            <x v="2"/>
          </reference>
        </references>
      </pivotArea>
    </format>
    <format dxfId="536">
      <pivotArea collapsedLevelsAreSubtotals="1" fieldPosition="0">
        <references count="2">
          <reference field="1" count="1">
            <x v="69"/>
          </reference>
          <reference field="2" count="1" selected="0">
            <x v="2"/>
          </reference>
        </references>
      </pivotArea>
    </format>
    <format dxfId="535">
      <pivotArea collapsedLevelsAreSubtotals="1" fieldPosition="0">
        <references count="2">
          <reference field="1" count="1">
            <x v="70"/>
          </reference>
          <reference field="2" count="1" selected="0">
            <x v="2"/>
          </reference>
        </references>
      </pivotArea>
    </format>
    <format dxfId="534">
      <pivotArea collapsedLevelsAreSubtotals="1" fieldPosition="0">
        <references count="2">
          <reference field="1" count="1">
            <x v="71"/>
          </reference>
          <reference field="2" count="1" selected="0">
            <x v="2"/>
          </reference>
        </references>
      </pivotArea>
    </format>
    <format dxfId="533">
      <pivotArea collapsedLevelsAreSubtotals="1" fieldPosition="0">
        <references count="2">
          <reference field="1" count="1">
            <x v="72"/>
          </reference>
          <reference field="2" count="1" selected="0">
            <x v="2"/>
          </reference>
        </references>
      </pivotArea>
    </format>
    <format dxfId="532">
      <pivotArea collapsedLevelsAreSubtotals="1" fieldPosition="0">
        <references count="2">
          <reference field="1" count="1">
            <x v="73"/>
          </reference>
          <reference field="2" count="1" selected="0">
            <x v="2"/>
          </reference>
        </references>
      </pivotArea>
    </format>
    <format dxfId="531">
      <pivotArea collapsedLevelsAreSubtotals="1" fieldPosition="0">
        <references count="2">
          <reference field="1" count="1">
            <x v="74"/>
          </reference>
          <reference field="2" count="1" selected="0">
            <x v="2"/>
          </reference>
        </references>
      </pivotArea>
    </format>
    <format dxfId="530">
      <pivotArea collapsedLevelsAreSubtotals="1" fieldPosition="0">
        <references count="2">
          <reference field="1" count="1">
            <x v="75"/>
          </reference>
          <reference field="2" count="1" selected="0">
            <x v="2"/>
          </reference>
        </references>
      </pivotArea>
    </format>
    <format dxfId="529">
      <pivotArea collapsedLevelsAreSubtotals="1" fieldPosition="0">
        <references count="2">
          <reference field="1" count="1">
            <x v="76"/>
          </reference>
          <reference field="2" count="1" selected="0">
            <x v="2"/>
          </reference>
        </references>
      </pivotArea>
    </format>
    <format dxfId="528">
      <pivotArea collapsedLevelsAreSubtotals="1" fieldPosition="0">
        <references count="2">
          <reference field="1" count="1">
            <x v="77"/>
          </reference>
          <reference field="2" count="1" selected="0">
            <x v="2"/>
          </reference>
        </references>
      </pivotArea>
    </format>
    <format dxfId="527">
      <pivotArea collapsedLevelsAreSubtotals="1" fieldPosition="0">
        <references count="2">
          <reference field="1" count="1">
            <x v="78"/>
          </reference>
          <reference field="2" count="1" selected="0">
            <x v="2"/>
          </reference>
        </references>
      </pivotArea>
    </format>
    <format dxfId="526">
      <pivotArea collapsedLevelsAreSubtotals="1" fieldPosition="0">
        <references count="2">
          <reference field="1" count="1">
            <x v="79"/>
          </reference>
          <reference field="2" count="1" selected="0">
            <x v="2"/>
          </reference>
        </references>
      </pivotArea>
    </format>
    <format dxfId="525">
      <pivotArea collapsedLevelsAreSubtotals="1" fieldPosition="0">
        <references count="2">
          <reference field="1" count="1">
            <x v="80"/>
          </reference>
          <reference field="2" count="1" selected="0">
            <x v="2"/>
          </reference>
        </references>
      </pivotArea>
    </format>
    <format dxfId="524">
      <pivotArea collapsedLevelsAreSubtotals="1" fieldPosition="0">
        <references count="2">
          <reference field="1" count="1">
            <x v="81"/>
          </reference>
          <reference field="2" count="1" selected="0">
            <x v="2"/>
          </reference>
        </references>
      </pivotArea>
    </format>
    <format dxfId="523">
      <pivotArea collapsedLevelsAreSubtotals="1" fieldPosition="0">
        <references count="2">
          <reference field="1" count="1">
            <x v="82"/>
          </reference>
          <reference field="2" count="1" selected="0">
            <x v="2"/>
          </reference>
        </references>
      </pivotArea>
    </format>
    <format dxfId="522">
      <pivotArea collapsedLevelsAreSubtotals="1" fieldPosition="0">
        <references count="2">
          <reference field="1" count="1">
            <x v="83"/>
          </reference>
          <reference field="2" count="1" selected="0">
            <x v="2"/>
          </reference>
        </references>
      </pivotArea>
    </format>
    <format dxfId="521">
      <pivotArea collapsedLevelsAreSubtotals="1" fieldPosition="0">
        <references count="2">
          <reference field="1" count="1">
            <x v="84"/>
          </reference>
          <reference field="2" count="1" selected="0">
            <x v="2"/>
          </reference>
        </references>
      </pivotArea>
    </format>
    <format dxfId="520">
      <pivotArea collapsedLevelsAreSubtotals="1" fieldPosition="0">
        <references count="2">
          <reference field="1" count="1">
            <x v="85"/>
          </reference>
          <reference field="2" count="1" selected="0">
            <x v="2"/>
          </reference>
        </references>
      </pivotArea>
    </format>
    <format dxfId="519">
      <pivotArea collapsedLevelsAreSubtotals="1" fieldPosition="0">
        <references count="2">
          <reference field="1" count="1">
            <x v="86"/>
          </reference>
          <reference field="2" count="1" selected="0">
            <x v="2"/>
          </reference>
        </references>
      </pivotArea>
    </format>
    <format dxfId="518">
      <pivotArea collapsedLevelsAreSubtotals="1" fieldPosition="0">
        <references count="2">
          <reference field="1" count="1">
            <x v="87"/>
          </reference>
          <reference field="2" count="1" selected="0">
            <x v="2"/>
          </reference>
        </references>
      </pivotArea>
    </format>
    <format dxfId="517">
      <pivotArea collapsedLevelsAreSubtotals="1" fieldPosition="0">
        <references count="2">
          <reference field="1" count="1">
            <x v="88"/>
          </reference>
          <reference field="2" count="1" selected="0">
            <x v="2"/>
          </reference>
        </references>
      </pivotArea>
    </format>
    <format dxfId="516">
      <pivotArea collapsedLevelsAreSubtotals="1" fieldPosition="0">
        <references count="2">
          <reference field="1" count="1">
            <x v="89"/>
          </reference>
          <reference field="2" count="1" selected="0">
            <x v="2"/>
          </reference>
        </references>
      </pivotArea>
    </format>
    <format dxfId="515">
      <pivotArea collapsedLevelsAreSubtotals="1" fieldPosition="0">
        <references count="2">
          <reference field="1" count="1">
            <x v="90"/>
          </reference>
          <reference field="2" count="1" selected="0">
            <x v="2"/>
          </reference>
        </references>
      </pivotArea>
    </format>
    <format dxfId="514">
      <pivotArea collapsedLevelsAreSubtotals="1" fieldPosition="0">
        <references count="2">
          <reference field="1" count="1">
            <x v="91"/>
          </reference>
          <reference field="2" count="1" selected="0">
            <x v="2"/>
          </reference>
        </references>
      </pivotArea>
    </format>
    <format dxfId="513">
      <pivotArea collapsedLevelsAreSubtotals="1" fieldPosition="0">
        <references count="1">
          <reference field="2" count="1">
            <x v="1"/>
          </reference>
        </references>
      </pivotArea>
    </format>
    <format dxfId="512">
      <pivotArea collapsedLevelsAreSubtotals="1" fieldPosition="0">
        <references count="2">
          <reference field="1" count="1">
            <x v="31"/>
          </reference>
          <reference field="2" count="1" selected="0">
            <x v="1"/>
          </reference>
        </references>
      </pivotArea>
    </format>
    <format dxfId="511">
      <pivotArea collapsedLevelsAreSubtotals="1" fieldPosition="0">
        <references count="2">
          <reference field="1" count="1">
            <x v="32"/>
          </reference>
          <reference field="2" count="1" selected="0">
            <x v="1"/>
          </reference>
        </references>
      </pivotArea>
    </format>
    <format dxfId="510">
      <pivotArea collapsedLevelsAreSubtotals="1" fieldPosition="0">
        <references count="2">
          <reference field="1" count="1">
            <x v="33"/>
          </reference>
          <reference field="2" count="1" selected="0">
            <x v="1"/>
          </reference>
        </references>
      </pivotArea>
    </format>
    <format dxfId="509">
      <pivotArea collapsedLevelsAreSubtotals="1" fieldPosition="0">
        <references count="2">
          <reference field="1" count="1">
            <x v="34"/>
          </reference>
          <reference field="2" count="1" selected="0">
            <x v="1"/>
          </reference>
        </references>
      </pivotArea>
    </format>
    <format dxfId="508">
      <pivotArea collapsedLevelsAreSubtotals="1" fieldPosition="0">
        <references count="2">
          <reference field="1" count="1">
            <x v="35"/>
          </reference>
          <reference field="2" count="1" selected="0">
            <x v="1"/>
          </reference>
        </references>
      </pivotArea>
    </format>
    <format dxfId="507">
      <pivotArea collapsedLevelsAreSubtotals="1" fieldPosition="0">
        <references count="2">
          <reference field="1" count="1">
            <x v="36"/>
          </reference>
          <reference field="2" count="1" selected="0">
            <x v="1"/>
          </reference>
        </references>
      </pivotArea>
    </format>
    <format dxfId="506">
      <pivotArea collapsedLevelsAreSubtotals="1" fieldPosition="0">
        <references count="2">
          <reference field="1" count="1">
            <x v="37"/>
          </reference>
          <reference field="2" count="1" selected="0">
            <x v="1"/>
          </reference>
        </references>
      </pivotArea>
    </format>
    <format dxfId="505">
      <pivotArea collapsedLevelsAreSubtotals="1" fieldPosition="0">
        <references count="2">
          <reference field="1" count="1">
            <x v="38"/>
          </reference>
          <reference field="2" count="1" selected="0">
            <x v="1"/>
          </reference>
        </references>
      </pivotArea>
    </format>
    <format dxfId="504">
      <pivotArea collapsedLevelsAreSubtotals="1" fieldPosition="0">
        <references count="2">
          <reference field="1" count="1">
            <x v="39"/>
          </reference>
          <reference field="2" count="1" selected="0">
            <x v="1"/>
          </reference>
        </references>
      </pivotArea>
    </format>
    <format dxfId="503">
      <pivotArea collapsedLevelsAreSubtotals="1" fieldPosition="0">
        <references count="2">
          <reference field="1" count="1">
            <x v="40"/>
          </reference>
          <reference field="2" count="1" selected="0">
            <x v="1"/>
          </reference>
        </references>
      </pivotArea>
    </format>
    <format dxfId="502">
      <pivotArea collapsedLevelsAreSubtotals="1" fieldPosition="0">
        <references count="2">
          <reference field="1" count="1">
            <x v="41"/>
          </reference>
          <reference field="2" count="1" selected="0">
            <x v="1"/>
          </reference>
        </references>
      </pivotArea>
    </format>
    <format dxfId="501">
      <pivotArea collapsedLevelsAreSubtotals="1" fieldPosition="0">
        <references count="2">
          <reference field="1" count="1">
            <x v="42"/>
          </reference>
          <reference field="2" count="1" selected="0">
            <x v="1"/>
          </reference>
        </references>
      </pivotArea>
    </format>
    <format dxfId="500">
      <pivotArea collapsedLevelsAreSubtotals="1" fieldPosition="0">
        <references count="2">
          <reference field="1" count="1">
            <x v="43"/>
          </reference>
          <reference field="2" count="1" selected="0">
            <x v="1"/>
          </reference>
        </references>
      </pivotArea>
    </format>
    <format dxfId="499">
      <pivotArea collapsedLevelsAreSubtotals="1" fieldPosition="0">
        <references count="2">
          <reference field="1" count="1">
            <x v="44"/>
          </reference>
          <reference field="2" count="1" selected="0">
            <x v="1"/>
          </reference>
        </references>
      </pivotArea>
    </format>
    <format dxfId="498">
      <pivotArea collapsedLevelsAreSubtotals="1" fieldPosition="0">
        <references count="2">
          <reference field="1" count="1">
            <x v="45"/>
          </reference>
          <reference field="2" count="1" selected="0">
            <x v="1"/>
          </reference>
        </references>
      </pivotArea>
    </format>
    <format dxfId="497">
      <pivotArea collapsedLevelsAreSubtotals="1" fieldPosition="0">
        <references count="2">
          <reference field="1" count="1">
            <x v="46"/>
          </reference>
          <reference field="2" count="1" selected="0">
            <x v="1"/>
          </reference>
        </references>
      </pivotArea>
    </format>
    <format dxfId="496">
      <pivotArea collapsedLevelsAreSubtotals="1" fieldPosition="0">
        <references count="2">
          <reference field="1" count="1">
            <x v="47"/>
          </reference>
          <reference field="2" count="1" selected="0">
            <x v="1"/>
          </reference>
        </references>
      </pivotArea>
    </format>
    <format dxfId="495">
      <pivotArea collapsedLevelsAreSubtotals="1" fieldPosition="0">
        <references count="2">
          <reference field="1" count="1">
            <x v="48"/>
          </reference>
          <reference field="2" count="1" selected="0">
            <x v="1"/>
          </reference>
        </references>
      </pivotArea>
    </format>
    <format dxfId="494">
      <pivotArea collapsedLevelsAreSubtotals="1" fieldPosition="0">
        <references count="2">
          <reference field="1" count="1">
            <x v="49"/>
          </reference>
          <reference field="2" count="1" selected="0">
            <x v="1"/>
          </reference>
        </references>
      </pivotArea>
    </format>
    <format dxfId="493">
      <pivotArea collapsedLevelsAreSubtotals="1" fieldPosition="0">
        <references count="2">
          <reference field="1" count="1">
            <x v="50"/>
          </reference>
          <reference field="2" count="1" selected="0">
            <x v="1"/>
          </reference>
        </references>
      </pivotArea>
    </format>
    <format dxfId="492">
      <pivotArea collapsedLevelsAreSubtotals="1" fieldPosition="0">
        <references count="2">
          <reference field="1" count="1">
            <x v="51"/>
          </reference>
          <reference field="2" count="1" selected="0">
            <x v="1"/>
          </reference>
        </references>
      </pivotArea>
    </format>
    <format dxfId="491">
      <pivotArea collapsedLevelsAreSubtotals="1" fieldPosition="0">
        <references count="2">
          <reference field="1" count="1">
            <x v="52"/>
          </reference>
          <reference field="2" count="1" selected="0">
            <x v="1"/>
          </reference>
        </references>
      </pivotArea>
    </format>
    <format dxfId="490">
      <pivotArea collapsedLevelsAreSubtotals="1" fieldPosition="0">
        <references count="2">
          <reference field="1" count="1">
            <x v="53"/>
          </reference>
          <reference field="2" count="1" selected="0">
            <x v="1"/>
          </reference>
        </references>
      </pivotArea>
    </format>
    <format dxfId="489">
      <pivotArea collapsedLevelsAreSubtotals="1" fieldPosition="0">
        <references count="2">
          <reference field="1" count="1">
            <x v="54"/>
          </reference>
          <reference field="2" count="1" selected="0">
            <x v="1"/>
          </reference>
        </references>
      </pivotArea>
    </format>
    <format dxfId="488">
      <pivotArea collapsedLevelsAreSubtotals="1" fieldPosition="0">
        <references count="2">
          <reference field="1" count="1">
            <x v="55"/>
          </reference>
          <reference field="2" count="1" selected="0">
            <x v="1"/>
          </reference>
        </references>
      </pivotArea>
    </format>
    <format dxfId="487">
      <pivotArea collapsedLevelsAreSubtotals="1" fieldPosition="0">
        <references count="2">
          <reference field="1" count="1">
            <x v="56"/>
          </reference>
          <reference field="2" count="1" selected="0">
            <x v="1"/>
          </reference>
        </references>
      </pivotArea>
    </format>
    <format dxfId="486">
      <pivotArea collapsedLevelsAreSubtotals="1" fieldPosition="0">
        <references count="2">
          <reference field="1" count="1">
            <x v="57"/>
          </reference>
          <reference field="2" count="1" selected="0">
            <x v="1"/>
          </reference>
        </references>
      </pivotArea>
    </format>
    <format dxfId="485">
      <pivotArea collapsedLevelsAreSubtotals="1" fieldPosition="0">
        <references count="2">
          <reference field="1" count="1">
            <x v="58"/>
          </reference>
          <reference field="2" count="1" selected="0">
            <x v="1"/>
          </reference>
        </references>
      </pivotArea>
    </format>
    <format dxfId="484">
      <pivotArea collapsedLevelsAreSubtotals="1" fieldPosition="0">
        <references count="2">
          <reference field="1" count="1">
            <x v="59"/>
          </reference>
          <reference field="2" count="1" selected="0">
            <x v="1"/>
          </reference>
        </references>
      </pivotArea>
    </format>
    <format dxfId="483">
      <pivotArea collapsedLevelsAreSubtotals="1" fieldPosition="0">
        <references count="2">
          <reference field="1" count="1">
            <x v="60"/>
          </reference>
          <reference field="2" count="1" selected="0">
            <x v="1"/>
          </reference>
        </references>
      </pivotArea>
    </format>
    <format dxfId="482">
      <pivotArea collapsedLevelsAreSubtotals="1" fieldPosition="0">
        <references count="1">
          <reference field="2" count="1">
            <x v="7"/>
          </reference>
        </references>
      </pivotArea>
    </format>
    <format dxfId="481">
      <pivotArea collapsedLevelsAreSubtotals="1" fieldPosition="0">
        <references count="2">
          <reference field="1" count="1">
            <x v="274"/>
          </reference>
          <reference field="2" count="1" selected="0">
            <x v="7"/>
          </reference>
        </references>
      </pivotArea>
    </format>
    <format dxfId="480">
      <pivotArea collapsedLevelsAreSubtotals="1" fieldPosition="0">
        <references count="2">
          <reference field="1" count="1">
            <x v="275"/>
          </reference>
          <reference field="2" count="1" selected="0">
            <x v="7"/>
          </reference>
        </references>
      </pivotArea>
    </format>
    <format dxfId="479">
      <pivotArea collapsedLevelsAreSubtotals="1" fieldPosition="0">
        <references count="2">
          <reference field="1" count="1">
            <x v="276"/>
          </reference>
          <reference field="2" count="1" selected="0">
            <x v="7"/>
          </reference>
        </references>
      </pivotArea>
    </format>
    <format dxfId="478">
      <pivotArea collapsedLevelsAreSubtotals="1" fieldPosition="0">
        <references count="2">
          <reference field="1" count="1">
            <x v="277"/>
          </reference>
          <reference field="2" count="1" selected="0">
            <x v="7"/>
          </reference>
        </references>
      </pivotArea>
    </format>
    <format dxfId="477">
      <pivotArea collapsedLevelsAreSubtotals="1" fieldPosition="0">
        <references count="2">
          <reference field="1" count="1">
            <x v="278"/>
          </reference>
          <reference field="2" count="1" selected="0">
            <x v="7"/>
          </reference>
        </references>
      </pivotArea>
    </format>
    <format dxfId="476">
      <pivotArea collapsedLevelsAreSubtotals="1" fieldPosition="0">
        <references count="2">
          <reference field="1" count="1">
            <x v="279"/>
          </reference>
          <reference field="2" count="1" selected="0">
            <x v="7"/>
          </reference>
        </references>
      </pivotArea>
    </format>
    <format dxfId="475">
      <pivotArea collapsedLevelsAreSubtotals="1" fieldPosition="0">
        <references count="2">
          <reference field="1" count="1">
            <x v="280"/>
          </reference>
          <reference field="2" count="1" selected="0">
            <x v="7"/>
          </reference>
        </references>
      </pivotArea>
    </format>
    <format dxfId="474">
      <pivotArea collapsedLevelsAreSubtotals="1" fieldPosition="0">
        <references count="2">
          <reference field="1" count="1">
            <x v="281"/>
          </reference>
          <reference field="2" count="1" selected="0">
            <x v="7"/>
          </reference>
        </references>
      </pivotArea>
    </format>
    <format dxfId="473">
      <pivotArea collapsedLevelsAreSubtotals="1" fieldPosition="0">
        <references count="2">
          <reference field="1" count="1">
            <x v="282"/>
          </reference>
          <reference field="2" count="1" selected="0">
            <x v="7"/>
          </reference>
        </references>
      </pivotArea>
    </format>
    <format dxfId="472">
      <pivotArea collapsedLevelsAreSubtotals="1" fieldPosition="0">
        <references count="2">
          <reference field="1" count="1">
            <x v="283"/>
          </reference>
          <reference field="2" count="1" selected="0">
            <x v="7"/>
          </reference>
        </references>
      </pivotArea>
    </format>
    <format dxfId="471">
      <pivotArea collapsedLevelsAreSubtotals="1" fieldPosition="0">
        <references count="2">
          <reference field="1" count="1">
            <x v="284"/>
          </reference>
          <reference field="2" count="1" selected="0">
            <x v="7"/>
          </reference>
        </references>
      </pivotArea>
    </format>
    <format dxfId="470">
      <pivotArea collapsedLevelsAreSubtotals="1" fieldPosition="0">
        <references count="2">
          <reference field="1" count="1">
            <x v="285"/>
          </reference>
          <reference field="2" count="1" selected="0">
            <x v="7"/>
          </reference>
        </references>
      </pivotArea>
    </format>
    <format dxfId="469">
      <pivotArea collapsedLevelsAreSubtotals="1" fieldPosition="0">
        <references count="2">
          <reference field="1" count="1">
            <x v="286"/>
          </reference>
          <reference field="2" count="1" selected="0">
            <x v="7"/>
          </reference>
        </references>
      </pivotArea>
    </format>
    <format dxfId="468">
      <pivotArea collapsedLevelsAreSubtotals="1" fieldPosition="0">
        <references count="2">
          <reference field="1" count="1">
            <x v="287"/>
          </reference>
          <reference field="2" count="1" selected="0">
            <x v="7"/>
          </reference>
        </references>
      </pivotArea>
    </format>
    <format dxfId="467">
      <pivotArea collapsedLevelsAreSubtotals="1" fieldPosition="0">
        <references count="2">
          <reference field="1" count="1">
            <x v="288"/>
          </reference>
          <reference field="2" count="1" selected="0">
            <x v="7"/>
          </reference>
        </references>
      </pivotArea>
    </format>
    <format dxfId="466">
      <pivotArea collapsedLevelsAreSubtotals="1" fieldPosition="0">
        <references count="2">
          <reference field="1" count="1">
            <x v="289"/>
          </reference>
          <reference field="2" count="1" selected="0">
            <x v="7"/>
          </reference>
        </references>
      </pivotArea>
    </format>
    <format dxfId="465">
      <pivotArea collapsedLevelsAreSubtotals="1" fieldPosition="0">
        <references count="2">
          <reference field="1" count="1">
            <x v="290"/>
          </reference>
          <reference field="2" count="1" selected="0">
            <x v="7"/>
          </reference>
        </references>
      </pivotArea>
    </format>
    <format dxfId="464">
      <pivotArea collapsedLevelsAreSubtotals="1" fieldPosition="0">
        <references count="2">
          <reference field="1" count="1">
            <x v="291"/>
          </reference>
          <reference field="2" count="1" selected="0">
            <x v="7"/>
          </reference>
        </references>
      </pivotArea>
    </format>
    <format dxfId="463">
      <pivotArea collapsedLevelsAreSubtotals="1" fieldPosition="0">
        <references count="2">
          <reference field="1" count="1">
            <x v="292"/>
          </reference>
          <reference field="2" count="1" selected="0">
            <x v="7"/>
          </reference>
        </references>
      </pivotArea>
    </format>
    <format dxfId="462">
      <pivotArea collapsedLevelsAreSubtotals="1" fieldPosition="0">
        <references count="2">
          <reference field="1" count="1">
            <x v="293"/>
          </reference>
          <reference field="2" count="1" selected="0">
            <x v="7"/>
          </reference>
        </references>
      </pivotArea>
    </format>
    <format dxfId="461">
      <pivotArea collapsedLevelsAreSubtotals="1" fieldPosition="0">
        <references count="2">
          <reference field="1" count="1">
            <x v="294"/>
          </reference>
          <reference field="2" count="1" selected="0">
            <x v="7"/>
          </reference>
        </references>
      </pivotArea>
    </format>
    <format dxfId="460">
      <pivotArea collapsedLevelsAreSubtotals="1" fieldPosition="0">
        <references count="2">
          <reference field="1" count="1">
            <x v="295"/>
          </reference>
          <reference field="2" count="1" selected="0">
            <x v="7"/>
          </reference>
        </references>
      </pivotArea>
    </format>
    <format dxfId="459">
      <pivotArea collapsedLevelsAreSubtotals="1" fieldPosition="0">
        <references count="2">
          <reference field="1" count="1">
            <x v="296"/>
          </reference>
          <reference field="2" count="1" selected="0">
            <x v="7"/>
          </reference>
        </references>
      </pivotArea>
    </format>
    <format dxfId="458">
      <pivotArea collapsedLevelsAreSubtotals="1" fieldPosition="0">
        <references count="2">
          <reference field="1" count="1">
            <x v="297"/>
          </reference>
          <reference field="2" count="1" selected="0">
            <x v="7"/>
          </reference>
        </references>
      </pivotArea>
    </format>
    <format dxfId="457">
      <pivotArea collapsedLevelsAreSubtotals="1" fieldPosition="0">
        <references count="2">
          <reference field="1" count="1">
            <x v="298"/>
          </reference>
          <reference field="2" count="1" selected="0">
            <x v="7"/>
          </reference>
        </references>
      </pivotArea>
    </format>
    <format dxfId="456">
      <pivotArea collapsedLevelsAreSubtotals="1" fieldPosition="0">
        <references count="2">
          <reference field="1" count="1">
            <x v="299"/>
          </reference>
          <reference field="2" count="1" selected="0">
            <x v="7"/>
          </reference>
        </references>
      </pivotArea>
    </format>
    <format dxfId="455">
      <pivotArea collapsedLevelsAreSubtotals="1" fieldPosition="0">
        <references count="2">
          <reference field="1" count="1">
            <x v="300"/>
          </reference>
          <reference field="2" count="1" selected="0">
            <x v="7"/>
          </reference>
        </references>
      </pivotArea>
    </format>
    <format dxfId="454">
      <pivotArea collapsedLevelsAreSubtotals="1" fieldPosition="0">
        <references count="2">
          <reference field="1" count="1">
            <x v="301"/>
          </reference>
          <reference field="2" count="1" selected="0">
            <x v="7"/>
          </reference>
        </references>
      </pivotArea>
    </format>
    <format dxfId="453">
      <pivotArea collapsedLevelsAreSubtotals="1" fieldPosition="0">
        <references count="2">
          <reference field="1" count="1">
            <x v="302"/>
          </reference>
          <reference field="2" count="1" selected="0">
            <x v="7"/>
          </reference>
        </references>
      </pivotArea>
    </format>
    <format dxfId="452">
      <pivotArea collapsedLevelsAreSubtotals="1" fieldPosition="0">
        <references count="2">
          <reference field="1" count="1">
            <x v="303"/>
          </reference>
          <reference field="2" count="1" selected="0">
            <x v="7"/>
          </reference>
        </references>
      </pivotArea>
    </format>
    <format dxfId="451">
      <pivotArea collapsedLevelsAreSubtotals="1" fieldPosition="0">
        <references count="2">
          <reference field="1" count="1">
            <x v="304"/>
          </reference>
          <reference field="2" count="1" selected="0">
            <x v="7"/>
          </reference>
        </references>
      </pivotArea>
    </format>
    <format dxfId="450">
      <pivotArea collapsedLevelsAreSubtotals="1" fieldPosition="0">
        <references count="1">
          <reference field="2" count="1">
            <x v="8"/>
          </reference>
        </references>
      </pivotArea>
    </format>
    <format dxfId="449">
      <pivotArea collapsedLevelsAreSubtotals="1" fieldPosition="0">
        <references count="2">
          <reference field="1" count="1">
            <x v="305"/>
          </reference>
          <reference field="2" count="1" selected="0">
            <x v="8"/>
          </reference>
        </references>
      </pivotArea>
    </format>
    <format dxfId="448">
      <pivotArea collapsedLevelsAreSubtotals="1" fieldPosition="0">
        <references count="2">
          <reference field="1" count="1">
            <x v="306"/>
          </reference>
          <reference field="2" count="1" selected="0">
            <x v="8"/>
          </reference>
        </references>
      </pivotArea>
    </format>
    <format dxfId="447">
      <pivotArea collapsedLevelsAreSubtotals="1" fieldPosition="0">
        <references count="2">
          <reference field="1" count="1">
            <x v="307"/>
          </reference>
          <reference field="2" count="1" selected="0">
            <x v="8"/>
          </reference>
        </references>
      </pivotArea>
    </format>
    <format dxfId="446">
      <pivotArea collapsedLevelsAreSubtotals="1" fieldPosition="0">
        <references count="2">
          <reference field="1" count="1">
            <x v="308"/>
          </reference>
          <reference field="2" count="1" selected="0">
            <x v="8"/>
          </reference>
        </references>
      </pivotArea>
    </format>
    <format dxfId="445">
      <pivotArea collapsedLevelsAreSubtotals="1" fieldPosition="0">
        <references count="2">
          <reference field="1" count="1">
            <x v="309"/>
          </reference>
          <reference field="2" count="1" selected="0">
            <x v="8"/>
          </reference>
        </references>
      </pivotArea>
    </format>
    <format dxfId="444">
      <pivotArea collapsedLevelsAreSubtotals="1" fieldPosition="0">
        <references count="2">
          <reference field="1" count="1">
            <x v="310"/>
          </reference>
          <reference field="2" count="1" selected="0">
            <x v="8"/>
          </reference>
        </references>
      </pivotArea>
    </format>
    <format dxfId="443">
      <pivotArea collapsedLevelsAreSubtotals="1" fieldPosition="0">
        <references count="2">
          <reference field="1" count="1">
            <x v="311"/>
          </reference>
          <reference field="2" count="1" selected="0">
            <x v="8"/>
          </reference>
        </references>
      </pivotArea>
    </format>
    <format dxfId="442">
      <pivotArea collapsedLevelsAreSubtotals="1" fieldPosition="0">
        <references count="2">
          <reference field="1" count="1">
            <x v="312"/>
          </reference>
          <reference field="2" count="1" selected="0">
            <x v="8"/>
          </reference>
        </references>
      </pivotArea>
    </format>
    <format dxfId="441">
      <pivotArea collapsedLevelsAreSubtotals="1" fieldPosition="0">
        <references count="2">
          <reference field="1" count="1">
            <x v="313"/>
          </reference>
          <reference field="2" count="1" selected="0">
            <x v="8"/>
          </reference>
        </references>
      </pivotArea>
    </format>
    <format dxfId="440">
      <pivotArea collapsedLevelsAreSubtotals="1" fieldPosition="0">
        <references count="2">
          <reference field="1" count="1">
            <x v="314"/>
          </reference>
          <reference field="2" count="1" selected="0">
            <x v="8"/>
          </reference>
        </references>
      </pivotArea>
    </format>
    <format dxfId="439">
      <pivotArea collapsedLevelsAreSubtotals="1" fieldPosition="0">
        <references count="2">
          <reference field="1" count="1">
            <x v="315"/>
          </reference>
          <reference field="2" count="1" selected="0">
            <x v="8"/>
          </reference>
        </references>
      </pivotArea>
    </format>
    <format dxfId="438">
      <pivotArea collapsedLevelsAreSubtotals="1" fieldPosition="0">
        <references count="2">
          <reference field="1" count="1">
            <x v="316"/>
          </reference>
          <reference field="2" count="1" selected="0">
            <x v="8"/>
          </reference>
        </references>
      </pivotArea>
    </format>
    <format dxfId="437">
      <pivotArea collapsedLevelsAreSubtotals="1" fieldPosition="0">
        <references count="2">
          <reference field="1" count="1">
            <x v="317"/>
          </reference>
          <reference field="2" count="1" selected="0">
            <x v="8"/>
          </reference>
        </references>
      </pivotArea>
    </format>
    <format dxfId="436">
      <pivotArea collapsedLevelsAreSubtotals="1" fieldPosition="0">
        <references count="2">
          <reference field="1" count="1">
            <x v="318"/>
          </reference>
          <reference field="2" count="1" selected="0">
            <x v="8"/>
          </reference>
        </references>
      </pivotArea>
    </format>
    <format dxfId="435">
      <pivotArea collapsedLevelsAreSubtotals="1" fieldPosition="0">
        <references count="2">
          <reference field="1" count="1">
            <x v="319"/>
          </reference>
          <reference field="2" count="1" selected="0">
            <x v="8"/>
          </reference>
        </references>
      </pivotArea>
    </format>
    <format dxfId="434">
      <pivotArea collapsedLevelsAreSubtotals="1" fieldPosition="0">
        <references count="2">
          <reference field="1" count="1">
            <x v="320"/>
          </reference>
          <reference field="2" count="1" selected="0">
            <x v="8"/>
          </reference>
        </references>
      </pivotArea>
    </format>
    <format dxfId="433">
      <pivotArea collapsedLevelsAreSubtotals="1" fieldPosition="0">
        <references count="2">
          <reference field="1" count="1">
            <x v="321"/>
          </reference>
          <reference field="2" count="1" selected="0">
            <x v="8"/>
          </reference>
        </references>
      </pivotArea>
    </format>
    <format dxfId="432">
      <pivotArea collapsedLevelsAreSubtotals="1" fieldPosition="0">
        <references count="2">
          <reference field="1" count="1">
            <x v="322"/>
          </reference>
          <reference field="2" count="1" selected="0">
            <x v="8"/>
          </reference>
        </references>
      </pivotArea>
    </format>
    <format dxfId="431">
      <pivotArea collapsedLevelsAreSubtotals="1" fieldPosition="0">
        <references count="2">
          <reference field="1" count="1">
            <x v="323"/>
          </reference>
          <reference field="2" count="1" selected="0">
            <x v="8"/>
          </reference>
        </references>
      </pivotArea>
    </format>
    <format dxfId="430">
      <pivotArea collapsedLevelsAreSubtotals="1" fieldPosition="0">
        <references count="2">
          <reference field="1" count="1">
            <x v="324"/>
          </reference>
          <reference field="2" count="1" selected="0">
            <x v="8"/>
          </reference>
        </references>
      </pivotArea>
    </format>
    <format dxfId="429">
      <pivotArea collapsedLevelsAreSubtotals="1" fieldPosition="0">
        <references count="2">
          <reference field="1" count="1">
            <x v="325"/>
          </reference>
          <reference field="2" count="1" selected="0">
            <x v="8"/>
          </reference>
        </references>
      </pivotArea>
    </format>
    <format dxfId="428">
      <pivotArea collapsedLevelsAreSubtotals="1" fieldPosition="0">
        <references count="2">
          <reference field="1" count="1">
            <x v="326"/>
          </reference>
          <reference field="2" count="1" selected="0">
            <x v="8"/>
          </reference>
        </references>
      </pivotArea>
    </format>
    <format dxfId="427">
      <pivotArea collapsedLevelsAreSubtotals="1" fieldPosition="0">
        <references count="2">
          <reference field="1" count="1">
            <x v="327"/>
          </reference>
          <reference field="2" count="1" selected="0">
            <x v="8"/>
          </reference>
        </references>
      </pivotArea>
    </format>
    <format dxfId="426">
      <pivotArea collapsedLevelsAreSubtotals="1" fieldPosition="0">
        <references count="2">
          <reference field="1" count="1">
            <x v="328"/>
          </reference>
          <reference field="2" count="1" selected="0">
            <x v="8"/>
          </reference>
        </references>
      </pivotArea>
    </format>
    <format dxfId="425">
      <pivotArea collapsedLevelsAreSubtotals="1" fieldPosition="0">
        <references count="2">
          <reference field="1" count="1">
            <x v="329"/>
          </reference>
          <reference field="2" count="1" selected="0">
            <x v="8"/>
          </reference>
        </references>
      </pivotArea>
    </format>
    <format dxfId="424">
      <pivotArea collapsedLevelsAreSubtotals="1" fieldPosition="0">
        <references count="2">
          <reference field="1" count="1">
            <x v="330"/>
          </reference>
          <reference field="2" count="1" selected="0">
            <x v="8"/>
          </reference>
        </references>
      </pivotArea>
    </format>
    <format dxfId="423">
      <pivotArea collapsedLevelsAreSubtotals="1" fieldPosition="0">
        <references count="2">
          <reference field="1" count="1">
            <x v="331"/>
          </reference>
          <reference field="2" count="1" selected="0">
            <x v="8"/>
          </reference>
        </references>
      </pivotArea>
    </format>
    <format dxfId="422">
      <pivotArea collapsedLevelsAreSubtotals="1" fieldPosition="0">
        <references count="2">
          <reference field="1" count="1">
            <x v="332"/>
          </reference>
          <reference field="2" count="1" selected="0">
            <x v="8"/>
          </reference>
        </references>
      </pivotArea>
    </format>
    <format dxfId="421">
      <pivotArea collapsedLevelsAreSubtotals="1" fieldPosition="0">
        <references count="2">
          <reference field="1" count="1">
            <x v="333"/>
          </reference>
          <reference field="2" count="1" selected="0">
            <x v="8"/>
          </reference>
        </references>
      </pivotArea>
    </format>
    <format dxfId="420">
      <pivotArea collapsedLevelsAreSubtotals="1" fieldPosition="0">
        <references count="2">
          <reference field="1" count="1">
            <x v="334"/>
          </reference>
          <reference field="2" count="1" selected="0">
            <x v="8"/>
          </reference>
        </references>
      </pivotArea>
    </format>
    <format dxfId="419">
      <pivotArea collapsedLevelsAreSubtotals="1" fieldPosition="0">
        <references count="1">
          <reference field="2" count="1">
            <x v="9"/>
          </reference>
        </references>
      </pivotArea>
    </format>
    <format dxfId="418">
      <pivotArea collapsedLevelsAreSubtotals="1" fieldPosition="0">
        <references count="2">
          <reference field="1" count="1">
            <x v="335"/>
          </reference>
          <reference field="2" count="1" selected="0">
            <x v="9"/>
          </reference>
        </references>
      </pivotArea>
    </format>
    <format dxfId="417">
      <pivotArea collapsedLevelsAreSubtotals="1" fieldPosition="0">
        <references count="2">
          <reference field="1" count="1">
            <x v="336"/>
          </reference>
          <reference field="2" count="1" selected="0">
            <x v="9"/>
          </reference>
        </references>
      </pivotArea>
    </format>
    <format dxfId="416">
      <pivotArea collapsedLevelsAreSubtotals="1" fieldPosition="0">
        <references count="2">
          <reference field="1" count="1">
            <x v="337"/>
          </reference>
          <reference field="2" count="1" selected="0">
            <x v="9"/>
          </reference>
        </references>
      </pivotArea>
    </format>
    <format dxfId="415">
      <pivotArea collapsedLevelsAreSubtotals="1" fieldPosition="0">
        <references count="2">
          <reference field="1" count="1">
            <x v="338"/>
          </reference>
          <reference field="2" count="1" selected="0">
            <x v="9"/>
          </reference>
        </references>
      </pivotArea>
    </format>
    <format dxfId="414">
      <pivotArea collapsedLevelsAreSubtotals="1" fieldPosition="0">
        <references count="2">
          <reference field="1" count="1">
            <x v="339"/>
          </reference>
          <reference field="2" count="1" selected="0">
            <x v="9"/>
          </reference>
        </references>
      </pivotArea>
    </format>
    <format dxfId="413">
      <pivotArea collapsedLevelsAreSubtotals="1" fieldPosition="0">
        <references count="2">
          <reference field="1" count="1">
            <x v="340"/>
          </reference>
          <reference field="2" count="1" selected="0">
            <x v="9"/>
          </reference>
        </references>
      </pivotArea>
    </format>
    <format dxfId="412">
      <pivotArea collapsedLevelsAreSubtotals="1" fieldPosition="0">
        <references count="2">
          <reference field="1" count="1">
            <x v="341"/>
          </reference>
          <reference field="2" count="1" selected="0">
            <x v="9"/>
          </reference>
        </references>
      </pivotArea>
    </format>
    <format dxfId="411">
      <pivotArea collapsedLevelsAreSubtotals="1" fieldPosition="0">
        <references count="2">
          <reference field="1" count="1">
            <x v="342"/>
          </reference>
          <reference field="2" count="1" selected="0">
            <x v="9"/>
          </reference>
        </references>
      </pivotArea>
    </format>
    <format dxfId="410">
      <pivotArea collapsedLevelsAreSubtotals="1" fieldPosition="0">
        <references count="2">
          <reference field="1" count="1">
            <x v="343"/>
          </reference>
          <reference field="2" count="1" selected="0">
            <x v="9"/>
          </reference>
        </references>
      </pivotArea>
    </format>
    <format dxfId="409">
      <pivotArea collapsedLevelsAreSubtotals="1" fieldPosition="0">
        <references count="2">
          <reference field="1" count="1">
            <x v="344"/>
          </reference>
          <reference field="2" count="1" selected="0">
            <x v="9"/>
          </reference>
        </references>
      </pivotArea>
    </format>
    <format dxfId="408">
      <pivotArea collapsedLevelsAreSubtotals="1" fieldPosition="0">
        <references count="2">
          <reference field="1" count="1">
            <x v="345"/>
          </reference>
          <reference field="2" count="1" selected="0">
            <x v="9"/>
          </reference>
        </references>
      </pivotArea>
    </format>
    <format dxfId="407">
      <pivotArea collapsedLevelsAreSubtotals="1" fieldPosition="0">
        <references count="2">
          <reference field="1" count="1">
            <x v="346"/>
          </reference>
          <reference field="2" count="1" selected="0">
            <x v="9"/>
          </reference>
        </references>
      </pivotArea>
    </format>
    <format dxfId="406">
      <pivotArea collapsedLevelsAreSubtotals="1" fieldPosition="0">
        <references count="2">
          <reference field="1" count="1">
            <x v="347"/>
          </reference>
          <reference field="2" count="1" selected="0">
            <x v="9"/>
          </reference>
        </references>
      </pivotArea>
    </format>
    <format dxfId="405">
      <pivotArea collapsedLevelsAreSubtotals="1" fieldPosition="0">
        <references count="2">
          <reference field="1" count="1">
            <x v="348"/>
          </reference>
          <reference field="2" count="1" selected="0">
            <x v="9"/>
          </reference>
        </references>
      </pivotArea>
    </format>
    <format dxfId="404">
      <pivotArea collapsedLevelsAreSubtotals="1" fieldPosition="0">
        <references count="2">
          <reference field="1" count="1">
            <x v="349"/>
          </reference>
          <reference field="2" count="1" selected="0">
            <x v="9"/>
          </reference>
        </references>
      </pivotArea>
    </format>
    <format dxfId="403">
      <pivotArea collapsedLevelsAreSubtotals="1" fieldPosition="0">
        <references count="2">
          <reference field="1" count="1">
            <x v="350"/>
          </reference>
          <reference field="2" count="1" selected="0">
            <x v="9"/>
          </reference>
        </references>
      </pivotArea>
    </format>
    <format dxfId="402">
      <pivotArea collapsedLevelsAreSubtotals="1" fieldPosition="0">
        <references count="2">
          <reference field="1" count="1">
            <x v="351"/>
          </reference>
          <reference field="2" count="1" selected="0">
            <x v="9"/>
          </reference>
        </references>
      </pivotArea>
    </format>
    <format dxfId="401">
      <pivotArea collapsedLevelsAreSubtotals="1" fieldPosition="0">
        <references count="2">
          <reference field="1" count="1">
            <x v="352"/>
          </reference>
          <reference field="2" count="1" selected="0">
            <x v="9"/>
          </reference>
        </references>
      </pivotArea>
    </format>
    <format dxfId="400">
      <pivotArea collapsedLevelsAreSubtotals="1" fieldPosition="0">
        <references count="2">
          <reference field="1" count="1">
            <x v="353"/>
          </reference>
          <reference field="2" count="1" selected="0">
            <x v="9"/>
          </reference>
        </references>
      </pivotArea>
    </format>
    <format dxfId="399">
      <pivotArea collapsedLevelsAreSubtotals="1" fieldPosition="0">
        <references count="2">
          <reference field="1" count="1">
            <x v="354"/>
          </reference>
          <reference field="2" count="1" selected="0">
            <x v="9"/>
          </reference>
        </references>
      </pivotArea>
    </format>
    <format dxfId="398">
      <pivotArea collapsedLevelsAreSubtotals="1" fieldPosition="0">
        <references count="2">
          <reference field="1" count="1">
            <x v="355"/>
          </reference>
          <reference field="2" count="1" selected="0">
            <x v="9"/>
          </reference>
        </references>
      </pivotArea>
    </format>
    <format dxfId="397">
      <pivotArea collapsedLevelsAreSubtotals="1" fieldPosition="0">
        <references count="2">
          <reference field="1" count="1">
            <x v="356"/>
          </reference>
          <reference field="2" count="1" selected="0">
            <x v="9"/>
          </reference>
        </references>
      </pivotArea>
    </format>
    <format dxfId="396">
      <pivotArea collapsedLevelsAreSubtotals="1" fieldPosition="0">
        <references count="2">
          <reference field="1" count="1">
            <x v="357"/>
          </reference>
          <reference field="2" count="1" selected="0">
            <x v="9"/>
          </reference>
        </references>
      </pivotArea>
    </format>
    <format dxfId="395">
      <pivotArea collapsedLevelsAreSubtotals="1" fieldPosition="0">
        <references count="2">
          <reference field="1" count="1">
            <x v="358"/>
          </reference>
          <reference field="2" count="1" selected="0">
            <x v="9"/>
          </reference>
        </references>
      </pivotArea>
    </format>
    <format dxfId="394">
      <pivotArea collapsedLevelsAreSubtotals="1" fieldPosition="0">
        <references count="2">
          <reference field="1" count="1">
            <x v="359"/>
          </reference>
          <reference field="2" count="1" selected="0">
            <x v="9"/>
          </reference>
        </references>
      </pivotArea>
    </format>
    <format dxfId="393">
      <pivotArea collapsedLevelsAreSubtotals="1" fieldPosition="0">
        <references count="2">
          <reference field="1" count="1">
            <x v="360"/>
          </reference>
          <reference field="2" count="1" selected="0">
            <x v="9"/>
          </reference>
        </references>
      </pivotArea>
    </format>
    <format dxfId="392">
      <pivotArea collapsedLevelsAreSubtotals="1" fieldPosition="0">
        <references count="2">
          <reference field="1" count="1">
            <x v="361"/>
          </reference>
          <reference field="2" count="1" selected="0">
            <x v="9"/>
          </reference>
        </references>
      </pivotArea>
    </format>
    <format dxfId="391">
      <pivotArea collapsedLevelsAreSubtotals="1" fieldPosition="0">
        <references count="2">
          <reference field="1" count="1">
            <x v="362"/>
          </reference>
          <reference field="2" count="1" selected="0">
            <x v="9"/>
          </reference>
        </references>
      </pivotArea>
    </format>
    <format dxfId="390">
      <pivotArea collapsedLevelsAreSubtotals="1" fieldPosition="0">
        <references count="2">
          <reference field="1" count="1">
            <x v="363"/>
          </reference>
          <reference field="2" count="1" selected="0">
            <x v="9"/>
          </reference>
        </references>
      </pivotArea>
    </format>
    <format dxfId="389">
      <pivotArea collapsedLevelsAreSubtotals="1" fieldPosition="0">
        <references count="2">
          <reference field="1" count="1">
            <x v="364"/>
          </reference>
          <reference field="2" count="1" selected="0">
            <x v="9"/>
          </reference>
        </references>
      </pivotArea>
    </format>
    <format dxfId="388">
      <pivotArea collapsedLevelsAreSubtotals="1" fieldPosition="0">
        <references count="2">
          <reference field="1" count="1">
            <x v="365"/>
          </reference>
          <reference field="2" count="1" selected="0">
            <x v="9"/>
          </reference>
        </references>
      </pivotArea>
    </format>
    <format dxfId="387">
      <pivotArea grandRow="1"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C2E18C-FBB4-47EA-84EB-1CBCABD8E396}" name="PivotTable7" cacheId="6" applyNumberFormats="0" applyBorderFormats="0" applyFontFormats="0" applyPatternFormats="0" applyAlignmentFormats="0" applyWidthHeightFormats="1" dataCaption="Values" tag="243ccb62-a077-49a4-8ff4-115df1fe1942" updatedVersion="8" minRefreshableVersion="3" subtotalHiddenItems="1" itemPrintTitles="1" createdVersion="8" indent="0" outline="1" outlineData="1" multipleFieldFilters="0" chartFormat="3">
  <location ref="F46:H4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12">
    <format dxfId="774">
      <pivotArea outline="0" collapsedLevelsAreSubtotals="1" fieldPosition="0"/>
    </format>
    <format dxfId="773">
      <pivotArea collapsedLevelsAreSubtotals="1" fieldPosition="0">
        <references count="1">
          <reference field="2" count="1">
            <x v="0"/>
          </reference>
        </references>
      </pivotArea>
    </format>
    <format dxfId="772">
      <pivotArea collapsedLevelsAreSubtotals="1" fieldPosition="0">
        <references count="1">
          <reference field="2" count="1">
            <x v="0"/>
          </reference>
        </references>
      </pivotArea>
    </format>
    <format dxfId="771">
      <pivotArea collapsedLevelsAreSubtotals="1" fieldPosition="0">
        <references count="1">
          <reference field="2" count="1">
            <x v="0"/>
          </reference>
        </references>
      </pivotArea>
    </format>
    <format dxfId="770">
      <pivotArea collapsedLevelsAreSubtotals="1" fieldPosition="0">
        <references count="1">
          <reference field="2" count="1">
            <x v="0"/>
          </reference>
        </references>
      </pivotArea>
    </format>
    <format dxfId="769">
      <pivotArea collapsedLevelsAreSubtotals="1" fieldPosition="0">
        <references count="1">
          <reference field="2" count="1">
            <x v="0"/>
          </reference>
        </references>
      </pivotArea>
    </format>
    <format dxfId="768">
      <pivotArea collapsedLevelsAreSubtotals="1" fieldPosition="0">
        <references count="1">
          <reference field="2" count="1">
            <x v="1"/>
          </reference>
        </references>
      </pivotArea>
    </format>
    <format dxfId="767">
      <pivotArea grandRow="1" outline="0" collapsedLevelsAreSubtotals="1" fieldPosition="0"/>
    </format>
    <format dxfId="766">
      <pivotArea collapsedLevelsAreSubtotals="1" fieldPosition="0">
        <references count="2">
          <reference field="4294967294" count="1" selected="0">
            <x v="1"/>
          </reference>
          <reference field="2" count="1">
            <x v="0"/>
          </reference>
        </references>
      </pivotArea>
    </format>
    <format dxfId="765">
      <pivotArea collapsedLevelsAreSubtotals="1" fieldPosition="0">
        <references count="2">
          <reference field="4294967294" count="1" selected="0">
            <x v="1"/>
          </reference>
          <reference field="2" count="1">
            <x v="0"/>
          </reference>
        </references>
      </pivotArea>
    </format>
    <format dxfId="764">
      <pivotArea collapsedLevelsAreSubtotals="1" fieldPosition="0">
        <references count="2">
          <reference field="4294967294" count="1" selected="0">
            <x v="0"/>
          </reference>
          <reference field="2" count="1">
            <x v="0"/>
          </reference>
        </references>
      </pivotArea>
    </format>
    <format dxfId="763">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6199CB-BE74-4F91-9AEC-A947FDF99E9C}" name="PivotTable2" cacheId="0" applyNumberFormats="0" applyBorderFormats="0" applyFontFormats="0" applyPatternFormats="0" applyAlignmentFormats="0" applyWidthHeightFormats="1" dataCaption="Values" tag="2220c5b8-c33b-4b2e-b6ff-7f4c19f81e18" updatedVersion="8" minRefreshableVersion="3" subtotalHiddenItems="1" itemPrintTitles="1" createdVersion="8" indent="0" outline="1" outlineData="1" multipleFieldFilters="0" chartFormat="2">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7C0AF5-98FC-42EF-8F08-3B8D20BFAE83}" name="PivotTable8" cacheId="7" applyNumberFormats="0" applyBorderFormats="0" applyFontFormats="0" applyPatternFormats="0" applyAlignmentFormats="0" applyWidthHeightFormats="1" dataCaption="Values" tag="243ccb62-a077-49a4-8ff4-115df1fe1942" updatedVersion="8" minRefreshableVersion="3" subtotalHiddenItems="1" itemPrintTitles="1" createdVersion="8" indent="0" outline="1" outlineData="1" multipleFieldFilters="0" chartFormat="7">
  <location ref="A56: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777">
      <pivotArea outline="0" collapsedLevelsAreSubtotals="1" fieldPosition="0"/>
    </format>
    <format dxfId="776">
      <pivotArea grandRow="1" outline="0" collapsedLevelsAreSubtotals="1" fieldPosition="0"/>
    </format>
    <format dxfId="775">
      <pivotArea collapsedLevelsAreSubtotals="1" fieldPosition="0">
        <references count="1">
          <reference field="1" count="0"/>
        </references>
      </pivotArea>
    </format>
  </formats>
  <chartFormats count="5">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0"/>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6914F3-E6E3-4451-9A33-8D48E03C99FE}" name="PivotTable10" cacheId="9" applyNumberFormats="0" applyBorderFormats="0" applyFontFormats="0" applyPatternFormats="0" applyAlignmentFormats="0" applyWidthHeightFormats="1" dataCaption="Values" tag="243ccb62-a077-49a4-8ff4-115df1fe1942" updatedVersion="8" minRefreshableVersion="3" subtotalHiddenItems="1" itemPrintTitles="1" createdVersion="8" indent="0" outline="1" outlineData="1" multipleFieldFilters="0" chartFormat="16">
  <location ref="B75:C7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779">
      <pivotArea outline="0" collapsedLevelsAreSubtotals="1" fieldPosition="0"/>
    </format>
    <format dxfId="778">
      <pivotArea grandRow="1"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7FE4BE3-E35B-47A9-B6A0-B7FCFD642D13}" sourceName="[Calender_table].[Date (Month)]">
  <pivotTables>
    <pivotTable tabId="2" name="PivotTable2"/>
    <pivotTable tabId="2" name="PivotTable3"/>
    <pivotTable tabId="2" name="PivotTable4"/>
    <pivotTable tabId="2" name="PivotTable1"/>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s>
  <data>
    <olap pivotCacheId="1407800003">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E5E944B-F9B8-46A0-978C-A9E4A66E9B77}" sourceName="[Calender_table].[Date (Year)]">
  <pivotTables>
    <pivotTable tabId="2" name="PivotTable12"/>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40780000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2602571-C6A2-4822-9194-C033403BBF58}" cache="Slicer_Date__Month" caption="Date (Month)" showCaption="0" level="1" style="SlicerStyleDark1" rowHeight="252000"/>
  <slicer name="Date (Year)" xr10:uid="{4C1D5EAB-0019-4493-98AF-4E3C657106C9}" cache="Slicer_Date__Year" caption="Date (Year)" columnCount="2" showCaption="0" level="1" style="SlicerStyleDark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E4F0F-6562-4F90-A27D-6DE2CF1208FB}">
  <dimension ref="A1"/>
  <sheetViews>
    <sheetView tabSelected="1" zoomScale="94" workbookViewId="0"/>
  </sheetViews>
  <sheetFormatPr defaultRowHeight="14.4" x14ac:dyDescent="0.3"/>
  <cols>
    <col min="1" max="16384" width="8.8867187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C87C3-A211-4F6F-BFD1-EDE41AB94D8B}">
  <dimension ref="B24"/>
  <sheetViews>
    <sheetView zoomScale="77" zoomScaleNormal="131" workbookViewId="0"/>
  </sheetViews>
  <sheetFormatPr defaultRowHeight="14.4" x14ac:dyDescent="0.3"/>
  <cols>
    <col min="1" max="8" width="8.88671875" style="6"/>
    <col min="9" max="9" width="21.109375" style="6" customWidth="1"/>
    <col min="10" max="16384" width="8.88671875" style="6"/>
  </cols>
  <sheetData>
    <row r="24" spans="2:2" x14ac:dyDescent="0.3">
      <c r="B24"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F03D-3DA4-4B55-B089-E64B9471918B}">
  <dimension ref="A2:K90"/>
  <sheetViews>
    <sheetView topLeftCell="A76" workbookViewId="0">
      <selection activeCell="G92" sqref="G92"/>
    </sheetView>
  </sheetViews>
  <sheetFormatPr defaultRowHeight="14.4" x14ac:dyDescent="0.3"/>
  <cols>
    <col min="1" max="1" width="19.5546875" customWidth="1"/>
    <col min="2" max="2" width="20.21875" customWidth="1"/>
    <col min="3" max="3" width="20.33203125" customWidth="1"/>
    <col min="4" max="4" width="17.44140625" customWidth="1"/>
    <col min="6" max="6" width="15" customWidth="1"/>
    <col min="7" max="7" width="23.6640625" customWidth="1"/>
    <col min="8" max="8" width="28.6640625" customWidth="1"/>
    <col min="11" max="11" width="32" customWidth="1"/>
  </cols>
  <sheetData>
    <row r="2" spans="1:11" x14ac:dyDescent="0.3">
      <c r="A2" t="s">
        <v>1</v>
      </c>
      <c r="C2" t="s">
        <v>6</v>
      </c>
      <c r="F2" t="s">
        <v>7</v>
      </c>
    </row>
    <row r="3" spans="1:11" x14ac:dyDescent="0.3">
      <c r="A3" t="s">
        <v>0</v>
      </c>
      <c r="C3" s="3" t="s">
        <v>5</v>
      </c>
      <c r="D3" t="s">
        <v>0</v>
      </c>
      <c r="F3" s="3" t="s">
        <v>5</v>
      </c>
      <c r="G3" t="s">
        <v>2</v>
      </c>
      <c r="J3" s="3" t="s">
        <v>5</v>
      </c>
      <c r="K3" t="s">
        <v>3</v>
      </c>
    </row>
    <row r="4" spans="1:11" x14ac:dyDescent="0.3">
      <c r="A4">
        <v>480</v>
      </c>
      <c r="C4" s="4" t="s">
        <v>40</v>
      </c>
      <c r="F4" s="4" t="s">
        <v>40</v>
      </c>
      <c r="J4" s="4" t="s">
        <v>40</v>
      </c>
    </row>
    <row r="5" spans="1:11" x14ac:dyDescent="0.3">
      <c r="C5" s="5" t="s">
        <v>41</v>
      </c>
      <c r="D5">
        <v>20</v>
      </c>
      <c r="F5" s="5" t="s">
        <v>41</v>
      </c>
      <c r="G5" s="1">
        <v>31.5</v>
      </c>
      <c r="J5" s="5" t="s">
        <v>41</v>
      </c>
      <c r="K5" s="1">
        <v>5.5</v>
      </c>
    </row>
    <row r="6" spans="1:11" x14ac:dyDescent="0.3">
      <c r="C6" s="5" t="s">
        <v>42</v>
      </c>
      <c r="D6">
        <v>16</v>
      </c>
      <c r="F6" s="5" t="s">
        <v>42</v>
      </c>
      <c r="G6" s="1">
        <v>34.25</v>
      </c>
      <c r="J6" s="5" t="s">
        <v>42</v>
      </c>
      <c r="K6" s="1">
        <v>3.3333333333333335</v>
      </c>
    </row>
    <row r="7" spans="1:11" x14ac:dyDescent="0.3">
      <c r="C7" s="5" t="s">
        <v>43</v>
      </c>
      <c r="D7">
        <v>20</v>
      </c>
      <c r="F7" s="5" t="s">
        <v>43</v>
      </c>
      <c r="G7" s="1">
        <v>41.1</v>
      </c>
      <c r="J7" s="5" t="s">
        <v>43</v>
      </c>
      <c r="K7" s="1">
        <v>6</v>
      </c>
    </row>
    <row r="8" spans="1:11" x14ac:dyDescent="0.3">
      <c r="A8" t="s">
        <v>2</v>
      </c>
      <c r="C8" s="5" t="s">
        <v>44</v>
      </c>
      <c r="D8">
        <v>16</v>
      </c>
      <c r="F8" s="5" t="s">
        <v>44</v>
      </c>
      <c r="G8" s="1">
        <v>31</v>
      </c>
      <c r="J8" s="5" t="s">
        <v>44</v>
      </c>
      <c r="K8" s="1">
        <v>4.8</v>
      </c>
    </row>
    <row r="9" spans="1:11" x14ac:dyDescent="0.3">
      <c r="A9" s="1">
        <v>34.429166666666667</v>
      </c>
      <c r="C9" s="5" t="s">
        <v>45</v>
      </c>
      <c r="D9">
        <v>18</v>
      </c>
      <c r="F9" s="5" t="s">
        <v>45</v>
      </c>
      <c r="G9" s="1">
        <v>33.666666666666664</v>
      </c>
      <c r="J9" s="5" t="s">
        <v>45</v>
      </c>
      <c r="K9" s="1">
        <v>5.5</v>
      </c>
    </row>
    <row r="10" spans="1:11" x14ac:dyDescent="0.3">
      <c r="C10" s="5" t="s">
        <v>46</v>
      </c>
      <c r="D10">
        <v>16</v>
      </c>
      <c r="F10" s="5" t="s">
        <v>46</v>
      </c>
      <c r="G10" s="1">
        <v>34.5625</v>
      </c>
      <c r="J10" s="5" t="s">
        <v>46</v>
      </c>
      <c r="K10" s="1">
        <v>5.25</v>
      </c>
    </row>
    <row r="11" spans="1:11" x14ac:dyDescent="0.3">
      <c r="A11" t="s">
        <v>3</v>
      </c>
      <c r="C11" s="5" t="s">
        <v>47</v>
      </c>
      <c r="D11">
        <v>15</v>
      </c>
      <c r="F11" s="5" t="s">
        <v>47</v>
      </c>
      <c r="G11" s="1">
        <v>34.93333333333333</v>
      </c>
      <c r="J11" s="5" t="s">
        <v>47</v>
      </c>
      <c r="K11" s="1">
        <v>4.8</v>
      </c>
    </row>
    <row r="12" spans="1:11" x14ac:dyDescent="0.3">
      <c r="A12" s="1">
        <v>5.1640625</v>
      </c>
      <c r="C12" s="5" t="s">
        <v>48</v>
      </c>
      <c r="D12">
        <v>20</v>
      </c>
      <c r="F12" s="5" t="s">
        <v>48</v>
      </c>
      <c r="G12" s="1">
        <v>36.4</v>
      </c>
      <c r="J12" s="5" t="s">
        <v>48</v>
      </c>
      <c r="K12" s="1">
        <v>4.5</v>
      </c>
    </row>
    <row r="13" spans="1:11" x14ac:dyDescent="0.3">
      <c r="C13" s="5" t="s">
        <v>49</v>
      </c>
      <c r="D13">
        <v>20</v>
      </c>
      <c r="F13" s="5" t="s">
        <v>49</v>
      </c>
      <c r="G13" s="1">
        <v>35.549999999999997</v>
      </c>
      <c r="J13" s="5" t="s">
        <v>49</v>
      </c>
      <c r="K13" s="1">
        <v>5</v>
      </c>
    </row>
    <row r="14" spans="1:11" x14ac:dyDescent="0.3">
      <c r="C14" s="5" t="s">
        <v>50</v>
      </c>
      <c r="D14">
        <v>13</v>
      </c>
      <c r="F14" s="5" t="s">
        <v>50</v>
      </c>
      <c r="G14" s="1">
        <v>30.692307692307693</v>
      </c>
      <c r="J14" s="5" t="s">
        <v>50</v>
      </c>
      <c r="K14" s="1">
        <v>5.333333333333333</v>
      </c>
    </row>
    <row r="15" spans="1:11" x14ac:dyDescent="0.3">
      <c r="C15" s="5" t="s">
        <v>51</v>
      </c>
      <c r="D15">
        <v>18</v>
      </c>
      <c r="F15" s="5" t="s">
        <v>51</v>
      </c>
      <c r="G15" s="1">
        <v>33.611111111111114</v>
      </c>
      <c r="J15" s="5" t="s">
        <v>51</v>
      </c>
      <c r="K15" s="1">
        <v>4.4000000000000004</v>
      </c>
    </row>
    <row r="16" spans="1:11" x14ac:dyDescent="0.3">
      <c r="C16" s="5" t="s">
        <v>52</v>
      </c>
      <c r="D16">
        <v>11</v>
      </c>
      <c r="F16" s="5" t="s">
        <v>52</v>
      </c>
      <c r="G16" s="1">
        <v>37.81818181818182</v>
      </c>
      <c r="J16" s="5" t="s">
        <v>52</v>
      </c>
      <c r="K16" s="1">
        <v>3.25</v>
      </c>
    </row>
    <row r="17" spans="3:11" x14ac:dyDescent="0.3">
      <c r="C17" s="5" t="s">
        <v>53</v>
      </c>
      <c r="D17">
        <v>13</v>
      </c>
      <c r="F17" s="5" t="s">
        <v>53</v>
      </c>
      <c r="G17" s="1">
        <v>40</v>
      </c>
      <c r="J17" s="5" t="s">
        <v>53</v>
      </c>
      <c r="K17" s="1">
        <v>6</v>
      </c>
    </row>
    <row r="18" spans="3:11" x14ac:dyDescent="0.3">
      <c r="C18" s="5" t="s">
        <v>54</v>
      </c>
      <c r="D18">
        <v>14</v>
      </c>
      <c r="F18" s="5" t="s">
        <v>54</v>
      </c>
      <c r="G18" s="1">
        <v>32</v>
      </c>
      <c r="J18" s="5" t="s">
        <v>54</v>
      </c>
      <c r="K18" s="1">
        <v>3.3333333333333335</v>
      </c>
    </row>
    <row r="19" spans="3:11" x14ac:dyDescent="0.3">
      <c r="C19" s="5" t="s">
        <v>55</v>
      </c>
      <c r="D19">
        <v>7</v>
      </c>
      <c r="F19" s="5" t="s">
        <v>55</v>
      </c>
      <c r="G19" s="1">
        <v>31.857142857142858</v>
      </c>
      <c r="J19" s="5" t="s">
        <v>56</v>
      </c>
      <c r="K19" s="1">
        <v>6.7</v>
      </c>
    </row>
    <row r="20" spans="3:11" x14ac:dyDescent="0.3">
      <c r="C20" s="5" t="s">
        <v>56</v>
      </c>
      <c r="D20">
        <v>21</v>
      </c>
      <c r="F20" s="5" t="s">
        <v>56</v>
      </c>
      <c r="G20" s="1">
        <v>31.142857142857142</v>
      </c>
      <c r="J20" s="5" t="s">
        <v>57</v>
      </c>
      <c r="K20" s="1">
        <v>7.75</v>
      </c>
    </row>
    <row r="21" spans="3:11" x14ac:dyDescent="0.3">
      <c r="C21" s="5" t="s">
        <v>57</v>
      </c>
      <c r="D21">
        <v>16</v>
      </c>
      <c r="F21" s="5" t="s">
        <v>57</v>
      </c>
      <c r="G21" s="1">
        <v>29.5</v>
      </c>
      <c r="J21" s="5" t="s">
        <v>58</v>
      </c>
      <c r="K21" s="1">
        <v>5.5</v>
      </c>
    </row>
    <row r="22" spans="3:11" x14ac:dyDescent="0.3">
      <c r="C22" s="5" t="s">
        <v>58</v>
      </c>
      <c r="D22">
        <v>15</v>
      </c>
      <c r="F22" s="5" t="s">
        <v>58</v>
      </c>
      <c r="G22" s="1">
        <v>30.666666666666668</v>
      </c>
      <c r="J22" s="5" t="s">
        <v>59</v>
      </c>
      <c r="K22" s="1">
        <v>4.5</v>
      </c>
    </row>
    <row r="23" spans="3:11" x14ac:dyDescent="0.3">
      <c r="C23" s="5" t="s">
        <v>59</v>
      </c>
      <c r="D23">
        <v>15</v>
      </c>
      <c r="F23" s="5" t="s">
        <v>59</v>
      </c>
      <c r="G23" s="1">
        <v>39.06666666666667</v>
      </c>
      <c r="J23" s="5" t="s">
        <v>60</v>
      </c>
      <c r="K23" s="1">
        <v>6</v>
      </c>
    </row>
    <row r="24" spans="3:11" x14ac:dyDescent="0.3">
      <c r="C24" s="5" t="s">
        <v>60</v>
      </c>
      <c r="D24">
        <v>14</v>
      </c>
      <c r="F24" s="5" t="s">
        <v>60</v>
      </c>
      <c r="G24" s="1">
        <v>32.857142857142854</v>
      </c>
      <c r="J24" s="5" t="s">
        <v>61</v>
      </c>
      <c r="K24" s="1">
        <v>5.75</v>
      </c>
    </row>
    <row r="25" spans="3:11" x14ac:dyDescent="0.3">
      <c r="C25" s="5" t="s">
        <v>61</v>
      </c>
      <c r="D25">
        <v>16</v>
      </c>
      <c r="F25" s="5" t="s">
        <v>61</v>
      </c>
      <c r="G25" s="1">
        <v>38.3125</v>
      </c>
      <c r="J25" s="5" t="s">
        <v>62</v>
      </c>
      <c r="K25" s="1">
        <v>3.1428571428571428</v>
      </c>
    </row>
    <row r="26" spans="3:11" x14ac:dyDescent="0.3">
      <c r="C26" s="5" t="s">
        <v>62</v>
      </c>
      <c r="D26">
        <v>21</v>
      </c>
      <c r="F26" s="5" t="s">
        <v>62</v>
      </c>
      <c r="G26" s="1">
        <v>35.80952380952381</v>
      </c>
      <c r="J26" s="5" t="s">
        <v>63</v>
      </c>
      <c r="K26" s="1">
        <v>4</v>
      </c>
    </row>
    <row r="27" spans="3:11" x14ac:dyDescent="0.3">
      <c r="C27" s="5" t="s">
        <v>63</v>
      </c>
      <c r="D27">
        <v>13</v>
      </c>
      <c r="F27" s="5" t="s">
        <v>63</v>
      </c>
      <c r="G27" s="1">
        <v>33.153846153846153</v>
      </c>
      <c r="J27" s="5" t="s">
        <v>64</v>
      </c>
      <c r="K27" s="1">
        <v>6.5</v>
      </c>
    </row>
    <row r="28" spans="3:11" x14ac:dyDescent="0.3">
      <c r="C28" s="5" t="s">
        <v>64</v>
      </c>
      <c r="D28">
        <v>11</v>
      </c>
      <c r="F28" s="5" t="s">
        <v>64</v>
      </c>
      <c r="G28" s="1">
        <v>39.18181818181818</v>
      </c>
      <c r="J28" s="5" t="s">
        <v>65</v>
      </c>
      <c r="K28" s="1">
        <v>4</v>
      </c>
    </row>
    <row r="29" spans="3:11" x14ac:dyDescent="0.3">
      <c r="C29" s="5" t="s">
        <v>65</v>
      </c>
      <c r="D29">
        <v>16</v>
      </c>
      <c r="F29" s="5" t="s">
        <v>65</v>
      </c>
      <c r="G29" s="1">
        <v>36.3125</v>
      </c>
      <c r="J29" s="5" t="s">
        <v>66</v>
      </c>
      <c r="K29" s="1">
        <v>7.333333333333333</v>
      </c>
    </row>
    <row r="30" spans="3:11" x14ac:dyDescent="0.3">
      <c r="C30" s="5" t="s">
        <v>66</v>
      </c>
      <c r="D30">
        <v>11</v>
      </c>
      <c r="F30" s="5" t="s">
        <v>66</v>
      </c>
      <c r="G30" s="1">
        <v>33</v>
      </c>
      <c r="J30" s="5" t="s">
        <v>67</v>
      </c>
      <c r="K30" s="1">
        <v>5.333333333333333</v>
      </c>
    </row>
    <row r="31" spans="3:11" x14ac:dyDescent="0.3">
      <c r="C31" s="5" t="s">
        <v>67</v>
      </c>
      <c r="D31">
        <v>14</v>
      </c>
      <c r="F31" s="5" t="s">
        <v>67</v>
      </c>
      <c r="G31" s="1">
        <v>32.857142857142854</v>
      </c>
      <c r="J31" s="5" t="s">
        <v>68</v>
      </c>
      <c r="K31" s="1">
        <v>4.75</v>
      </c>
    </row>
    <row r="32" spans="3:11" x14ac:dyDescent="0.3">
      <c r="C32" s="5" t="s">
        <v>68</v>
      </c>
      <c r="D32">
        <v>10</v>
      </c>
      <c r="F32" s="5" t="s">
        <v>68</v>
      </c>
      <c r="G32" s="1">
        <v>36.799999999999997</v>
      </c>
      <c r="J32" s="5" t="s">
        <v>69</v>
      </c>
      <c r="K32" s="1">
        <v>4</v>
      </c>
    </row>
    <row r="33" spans="1:11" x14ac:dyDescent="0.3">
      <c r="C33" s="5" t="s">
        <v>69</v>
      </c>
      <c r="D33">
        <v>15</v>
      </c>
      <c r="F33" s="5" t="s">
        <v>69</v>
      </c>
      <c r="G33" s="1">
        <v>32.866666666666667</v>
      </c>
      <c r="J33" s="5" t="s">
        <v>70</v>
      </c>
      <c r="K33" s="1">
        <v>4</v>
      </c>
    </row>
    <row r="34" spans="1:11" x14ac:dyDescent="0.3">
      <c r="C34" s="5" t="s">
        <v>70</v>
      </c>
      <c r="D34">
        <v>24</v>
      </c>
      <c r="F34" s="5" t="s">
        <v>70</v>
      </c>
      <c r="G34" s="1">
        <v>32.375</v>
      </c>
      <c r="J34" s="5" t="s">
        <v>71</v>
      </c>
      <c r="K34" s="1">
        <v>8.3333333333333339</v>
      </c>
    </row>
    <row r="35" spans="1:11" x14ac:dyDescent="0.3">
      <c r="C35" s="5" t="s">
        <v>71</v>
      </c>
      <c r="D35">
        <v>11</v>
      </c>
      <c r="F35" s="5" t="s">
        <v>71</v>
      </c>
      <c r="G35" s="1">
        <v>36</v>
      </c>
      <c r="J35" s="4" t="s">
        <v>4</v>
      </c>
      <c r="K35" s="1">
        <v>5.1640625</v>
      </c>
    </row>
    <row r="36" spans="1:11" x14ac:dyDescent="0.3">
      <c r="C36" s="4" t="s">
        <v>4</v>
      </c>
      <c r="D36">
        <v>480</v>
      </c>
      <c r="F36" s="4" t="s">
        <v>4</v>
      </c>
      <c r="G36" s="1">
        <v>34.429166666666667</v>
      </c>
    </row>
    <row r="46" spans="1:11" x14ac:dyDescent="0.3">
      <c r="A46" s="14" t="s">
        <v>12</v>
      </c>
      <c r="B46" s="14" t="s">
        <v>38</v>
      </c>
      <c r="C46" s="14" t="s">
        <v>13</v>
      </c>
      <c r="D46" s="15"/>
      <c r="F46" s="3" t="s">
        <v>5</v>
      </c>
      <c r="G46" t="s">
        <v>10</v>
      </c>
      <c r="H46" t="s">
        <v>11</v>
      </c>
    </row>
    <row r="47" spans="1:11" x14ac:dyDescent="0.3">
      <c r="A47" s="12" t="str">
        <f>F48</f>
        <v>Not-admitted</v>
      </c>
      <c r="B47" s="12">
        <f>G48</f>
        <v>251</v>
      </c>
      <c r="C47" s="13">
        <f>H48</f>
        <v>0.5229166666666667</v>
      </c>
      <c r="D47" s="11"/>
      <c r="F47" s="4" t="s">
        <v>8</v>
      </c>
      <c r="G47" s="8">
        <v>229</v>
      </c>
      <c r="H47" s="10">
        <v>0.47708333333333336</v>
      </c>
    </row>
    <row r="48" spans="1:11" x14ac:dyDescent="0.3">
      <c r="A48" s="12" t="str">
        <f>F47</f>
        <v>Admitted</v>
      </c>
      <c r="B48" s="12">
        <f>G47</f>
        <v>229</v>
      </c>
      <c r="C48" s="13">
        <f>H47</f>
        <v>0.47708333333333336</v>
      </c>
      <c r="D48" s="11"/>
      <c r="F48" s="4" t="s">
        <v>9</v>
      </c>
      <c r="G48" s="8">
        <v>251</v>
      </c>
      <c r="H48" s="9">
        <v>0.5229166666666667</v>
      </c>
    </row>
    <row r="49" spans="1:8" x14ac:dyDescent="0.3">
      <c r="F49" s="4" t="s">
        <v>4</v>
      </c>
      <c r="G49" s="8">
        <v>480</v>
      </c>
      <c r="H49" s="9">
        <v>1</v>
      </c>
    </row>
    <row r="56" spans="1:8" x14ac:dyDescent="0.3">
      <c r="A56" s="3" t="s">
        <v>5</v>
      </c>
      <c r="B56" t="s">
        <v>22</v>
      </c>
    </row>
    <row r="57" spans="1:8" x14ac:dyDescent="0.3">
      <c r="A57" s="4" t="s">
        <v>14</v>
      </c>
      <c r="B57" s="8">
        <v>63</v>
      </c>
    </row>
    <row r="58" spans="1:8" x14ac:dyDescent="0.3">
      <c r="A58" s="4" t="s">
        <v>15</v>
      </c>
      <c r="B58" s="8">
        <v>49</v>
      </c>
    </row>
    <row r="59" spans="1:8" x14ac:dyDescent="0.3">
      <c r="A59" s="4" t="s">
        <v>16</v>
      </c>
      <c r="B59" s="8">
        <v>57</v>
      </c>
    </row>
    <row r="60" spans="1:8" x14ac:dyDescent="0.3">
      <c r="A60" s="4" t="s">
        <v>17</v>
      </c>
      <c r="B60" s="8">
        <v>73</v>
      </c>
    </row>
    <row r="61" spans="1:8" x14ac:dyDescent="0.3">
      <c r="A61" s="4" t="s">
        <v>18</v>
      </c>
      <c r="B61" s="8">
        <v>63</v>
      </c>
    </row>
    <row r="62" spans="1:8" x14ac:dyDescent="0.3">
      <c r="A62" s="4" t="s">
        <v>19</v>
      </c>
      <c r="B62" s="8">
        <v>60</v>
      </c>
    </row>
    <row r="63" spans="1:8" x14ac:dyDescent="0.3">
      <c r="A63" s="4" t="s">
        <v>20</v>
      </c>
      <c r="B63" s="8">
        <v>57</v>
      </c>
    </row>
    <row r="64" spans="1:8" x14ac:dyDescent="0.3">
      <c r="A64" s="4" t="s">
        <v>21</v>
      </c>
      <c r="B64" s="8">
        <v>58</v>
      </c>
    </row>
    <row r="65" spans="1:3" x14ac:dyDescent="0.3">
      <c r="A65" s="4" t="s">
        <v>4</v>
      </c>
      <c r="B65" s="8">
        <v>480</v>
      </c>
    </row>
    <row r="69" spans="1:3" x14ac:dyDescent="0.3">
      <c r="B69" s="3" t="s">
        <v>5</v>
      </c>
      <c r="C69" t="s">
        <v>25</v>
      </c>
    </row>
    <row r="70" spans="1:3" x14ac:dyDescent="0.3">
      <c r="B70" s="4" t="s">
        <v>24</v>
      </c>
      <c r="C70" s="8">
        <v>267</v>
      </c>
    </row>
    <row r="71" spans="1:3" x14ac:dyDescent="0.3">
      <c r="B71" s="4" t="s">
        <v>23</v>
      </c>
      <c r="C71" s="8">
        <v>213</v>
      </c>
    </row>
    <row r="72" spans="1:3" x14ac:dyDescent="0.3">
      <c r="B72" s="4" t="s">
        <v>4</v>
      </c>
      <c r="C72" s="8">
        <v>480</v>
      </c>
    </row>
    <row r="75" spans="1:3" x14ac:dyDescent="0.3">
      <c r="B75" s="3" t="s">
        <v>5</v>
      </c>
      <c r="C75" t="s">
        <v>26</v>
      </c>
    </row>
    <row r="76" spans="1:3" x14ac:dyDescent="0.3">
      <c r="B76" s="4" t="s">
        <v>27</v>
      </c>
      <c r="C76" s="1">
        <v>261</v>
      </c>
    </row>
    <row r="77" spans="1:3" x14ac:dyDescent="0.3">
      <c r="B77" s="4" t="s">
        <v>28</v>
      </c>
      <c r="C77" s="1">
        <v>219</v>
      </c>
    </row>
    <row r="78" spans="1:3" x14ac:dyDescent="0.3">
      <c r="B78" s="4" t="s">
        <v>4</v>
      </c>
      <c r="C78" s="8">
        <v>480</v>
      </c>
    </row>
    <row r="81" spans="2:6" x14ac:dyDescent="0.3">
      <c r="B81" s="3" t="s">
        <v>5</v>
      </c>
      <c r="C81" t="s">
        <v>37</v>
      </c>
    </row>
    <row r="82" spans="2:6" x14ac:dyDescent="0.3">
      <c r="B82" s="4" t="s">
        <v>36</v>
      </c>
      <c r="C82" s="8">
        <v>6</v>
      </c>
    </row>
    <row r="83" spans="2:6" x14ac:dyDescent="0.3">
      <c r="B83" s="4" t="s">
        <v>32</v>
      </c>
      <c r="C83" s="8">
        <v>11</v>
      </c>
    </row>
    <row r="84" spans="2:6" x14ac:dyDescent="0.3">
      <c r="B84" s="4" t="s">
        <v>29</v>
      </c>
      <c r="C84" s="8">
        <v>12</v>
      </c>
      <c r="F84" s="3" t="s">
        <v>5</v>
      </c>
    </row>
    <row r="85" spans="2:6" x14ac:dyDescent="0.3">
      <c r="B85" s="4" t="s">
        <v>30</v>
      </c>
      <c r="C85" s="8">
        <v>12</v>
      </c>
      <c r="F85" s="4" t="s">
        <v>39</v>
      </c>
    </row>
    <row r="86" spans="2:6" x14ac:dyDescent="0.3">
      <c r="B86" s="4" t="s">
        <v>35</v>
      </c>
      <c r="C86" s="8">
        <v>20</v>
      </c>
      <c r="F86" s="4" t="s">
        <v>4</v>
      </c>
    </row>
    <row r="87" spans="2:6" x14ac:dyDescent="0.3">
      <c r="B87" s="4" t="s">
        <v>34</v>
      </c>
      <c r="C87" s="8">
        <v>35</v>
      </c>
    </row>
    <row r="88" spans="2:6" x14ac:dyDescent="0.3">
      <c r="B88" s="4" t="s">
        <v>31</v>
      </c>
      <c r="C88" s="8">
        <v>93</v>
      </c>
    </row>
    <row r="89" spans="2:6" x14ac:dyDescent="0.3">
      <c r="B89" s="4" t="s">
        <v>33</v>
      </c>
      <c r="C89" s="8">
        <v>291</v>
      </c>
    </row>
    <row r="90" spans="2:6" x14ac:dyDescent="0.3">
      <c r="B90" s="4" t="s">
        <v>4</v>
      </c>
      <c r="C90" s="8">
        <v>480</v>
      </c>
    </row>
  </sheetData>
  <pageMargins left="0.7" right="0.7" top="0.75" bottom="0.75" header="0.3" footer="0.3"/>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3BF0EDE-E809-4C5B-89AF-75504ED4DB35}">
  <ds:schemaRefs/>
</ds:datastoreItem>
</file>

<file path=customXml/itemProps2.xml><?xml version="1.0" encoding="utf-8"?>
<ds:datastoreItem xmlns:ds="http://schemas.openxmlformats.org/officeDocument/2006/customXml" ds:itemID="{CE45AF36-181C-4BF9-A823-9447DCFF7749}">
  <ds:schemaRefs>
    <ds:schemaRef ds:uri="http://schemas.microsoft.com/DataMashup"/>
  </ds:schemaRefs>
</ds:datastoreItem>
</file>

<file path=customXml/itemProps3.xml><?xml version="1.0" encoding="utf-8"?>
<ds:datastoreItem xmlns:ds="http://schemas.openxmlformats.org/officeDocument/2006/customXml" ds:itemID="{43E0B4F3-74F3-4D18-ACB5-37C26FF73965}">
  <ds:schemaRefs/>
</ds:datastoreItem>
</file>

<file path=customXml/itemProps4.xml><?xml version="1.0" encoding="utf-8"?>
<ds:datastoreItem xmlns:ds="http://schemas.openxmlformats.org/officeDocument/2006/customXml" ds:itemID="{A1839226-F686-43AC-A867-CDD4612B8B2C}">
  <ds:schemaRefs/>
</ds:datastoreItem>
</file>

<file path=customXml/itemProps5.xml><?xml version="1.0" encoding="utf-8"?>
<ds:datastoreItem xmlns:ds="http://schemas.openxmlformats.org/officeDocument/2006/customXml" ds:itemID="{E923AACF-4045-4650-9CDF-E5875AE8152B}">
  <ds:schemaRefs/>
</ds:datastoreItem>
</file>

<file path=customXml/itemProps6.xml><?xml version="1.0" encoding="utf-8"?>
<ds:datastoreItem xmlns:ds="http://schemas.openxmlformats.org/officeDocument/2006/customXml" ds:itemID="{0F0FC5A3-1CE8-4104-8626-F24C2C3B7713}">
  <ds:schemaRefs/>
</ds:datastoreItem>
</file>

<file path=customXml/itemProps7.xml><?xml version="1.0" encoding="utf-8"?>
<ds:datastoreItem xmlns:ds="http://schemas.openxmlformats.org/officeDocument/2006/customXml" ds:itemID="{33D75691-3489-4269-9B47-B07043D5E7A2}">
  <ds:schemaRefs/>
</ds:datastoreItem>
</file>

<file path=customXml/itemProps8.xml><?xml version="1.0" encoding="utf-8"?>
<ds:datastoreItem xmlns:ds="http://schemas.openxmlformats.org/officeDocument/2006/customXml" ds:itemID="{DD5C79C3-9B2D-4686-8495-C499FCBD7078}">
  <ds:schemaRefs/>
</ds:datastoreItem>
</file>

<file path=customXml/itemProps9.xml><?xml version="1.0" encoding="utf-8"?>
<ds:datastoreItem xmlns:ds="http://schemas.openxmlformats.org/officeDocument/2006/customXml" ds:itemID="{F459A303-3C99-446E-97E3-AD3348F22158}">
  <ds:schemaRefs/>
</ds:datastoreItem>
</file>

<file path=customXml/itemProps10.xml><?xml version="1.0" encoding="utf-8"?>
<ds:datastoreItem xmlns:ds="http://schemas.openxmlformats.org/officeDocument/2006/customXml" ds:itemID="{60544FFB-BD2C-46D5-98E4-9A0B1D285B8B}">
  <ds:schemaRefs/>
</ds:datastoreItem>
</file>

<file path=customXml/itemProps11.xml><?xml version="1.0" encoding="utf-8"?>
<ds:datastoreItem xmlns:ds="http://schemas.openxmlformats.org/officeDocument/2006/customXml" ds:itemID="{620E0BA9-F9BE-474D-9525-B2283ECF8358}">
  <ds:schemaRefs/>
</ds:datastoreItem>
</file>

<file path=customXml/itemProps12.xml><?xml version="1.0" encoding="utf-8"?>
<ds:datastoreItem xmlns:ds="http://schemas.openxmlformats.org/officeDocument/2006/customXml" ds:itemID="{65D30E96-77AB-4853-A0E1-098BACB173AC}">
  <ds:schemaRefs/>
</ds:datastoreItem>
</file>

<file path=customXml/itemProps13.xml><?xml version="1.0" encoding="utf-8"?>
<ds:datastoreItem xmlns:ds="http://schemas.openxmlformats.org/officeDocument/2006/customXml" ds:itemID="{41576291-6C1F-4E91-ACAB-12837BC563DB}">
  <ds:schemaRefs/>
</ds:datastoreItem>
</file>

<file path=customXml/itemProps14.xml><?xml version="1.0" encoding="utf-8"?>
<ds:datastoreItem xmlns:ds="http://schemas.openxmlformats.org/officeDocument/2006/customXml" ds:itemID="{DB277EC4-43AE-4E65-AAEE-4A3F381E0FDE}">
  <ds:schemaRefs/>
</ds:datastoreItem>
</file>

<file path=customXml/itemProps15.xml><?xml version="1.0" encoding="utf-8"?>
<ds:datastoreItem xmlns:ds="http://schemas.openxmlformats.org/officeDocument/2006/customXml" ds:itemID="{F6A2262E-44E3-4310-9333-9DFB08BCDC1F}">
  <ds:schemaRefs/>
</ds:datastoreItem>
</file>

<file path=customXml/itemProps16.xml><?xml version="1.0" encoding="utf-8"?>
<ds:datastoreItem xmlns:ds="http://schemas.openxmlformats.org/officeDocument/2006/customXml" ds:itemID="{A8E4DEC0-C616-4943-8884-550F9424D90F}">
  <ds:schemaRefs/>
</ds:datastoreItem>
</file>

<file path=customXml/itemProps17.xml><?xml version="1.0" encoding="utf-8"?>
<ds:datastoreItem xmlns:ds="http://schemas.openxmlformats.org/officeDocument/2006/customXml" ds:itemID="{F7DDB416-4A7D-4A8C-8646-DF4E20917F49}">
  <ds:schemaRefs/>
</ds:datastoreItem>
</file>

<file path=customXml/itemProps18.xml><?xml version="1.0" encoding="utf-8"?>
<ds:datastoreItem xmlns:ds="http://schemas.openxmlformats.org/officeDocument/2006/customXml" ds:itemID="{57443776-0258-4B18-A326-C6EED471BE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MOHINI PATIL</dc:creator>
  <cp:lastModifiedBy>MOHINI PATIL</cp:lastModifiedBy>
  <dcterms:created xsi:type="dcterms:W3CDTF">2025-08-18T06:01:38Z</dcterms:created>
  <dcterms:modified xsi:type="dcterms:W3CDTF">2026-01-23T10:52:38Z</dcterms:modified>
</cp:coreProperties>
</file>